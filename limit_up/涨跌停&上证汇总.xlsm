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workgit\stock\limit_up\"/>
    </mc:Choice>
  </mc:AlternateContent>
  <xr:revisionPtr revIDLastSave="0" documentId="8_{E7C26FBC-EDA3-4CC3-BB56-CE790FB7601B}" xr6:coauthVersionLast="45" xr6:coauthVersionMax="45" xr10:uidLastSave="{00000000-0000-0000-0000-000000000000}"/>
  <bookViews>
    <workbookView xWindow="-120" yWindow="-120" windowWidth="37245" windowHeight="21840"/>
  </bookViews>
  <sheets>
    <sheet name="涨跌停&amp;上证汇总" sheetId="1" r:id="rId1"/>
  </sheets>
  <calcPr calcId="0"/>
</workbook>
</file>

<file path=xl/calcChain.xml><?xml version="1.0" encoding="utf-8"?>
<calcChain xmlns="http://schemas.openxmlformats.org/spreadsheetml/2006/main">
  <c r="T3" i="1" l="1"/>
  <c r="U3" i="1"/>
  <c r="V3" i="1"/>
  <c r="W3" i="1"/>
  <c r="X3" i="1"/>
  <c r="Y3" i="1"/>
  <c r="Z3" i="1"/>
  <c r="AA3" i="1"/>
  <c r="AB3" i="1"/>
  <c r="AC3" i="1"/>
  <c r="AD3" i="1"/>
  <c r="AE3" i="1"/>
  <c r="AF3" i="1"/>
  <c r="S3" i="1"/>
  <c r="AA2" i="1"/>
  <c r="AB2" i="1"/>
  <c r="AC2" i="1"/>
  <c r="AD2" i="1"/>
  <c r="AE2" i="1"/>
  <c r="AF2" i="1"/>
  <c r="AG2" i="1"/>
  <c r="Z2" i="1"/>
  <c r="Y2" i="1"/>
  <c r="X2" i="1"/>
  <c r="W2" i="1"/>
  <c r="V2" i="1"/>
  <c r="U2" i="1"/>
  <c r="T2" i="1"/>
  <c r="S2" i="1"/>
</calcChain>
</file>

<file path=xl/sharedStrings.xml><?xml version="1.0" encoding="utf-8"?>
<sst xmlns="http://schemas.openxmlformats.org/spreadsheetml/2006/main" count="310" uniqueCount="18">
  <si>
    <t>up_limit</t>
  </si>
  <si>
    <t>down_limit</t>
  </si>
  <si>
    <t>trade_date</t>
  </si>
  <si>
    <t>ts_code</t>
  </si>
  <si>
    <t>close</t>
  </si>
  <si>
    <t>open</t>
  </si>
  <si>
    <t>high</t>
  </si>
  <si>
    <t>low</t>
  </si>
  <si>
    <t>pre_close</t>
  </si>
  <si>
    <t>change</t>
  </si>
  <si>
    <t>pct_chg</t>
  </si>
  <si>
    <t>vol</t>
  </si>
  <si>
    <t>amount</t>
  </si>
  <si>
    <t>up_5</t>
  </si>
  <si>
    <t>down_-5</t>
  </si>
  <si>
    <t>rate</t>
  </si>
  <si>
    <t>FLU</t>
  </si>
  <si>
    <t>000001.SH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</si>
</sst>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279"/>
  <sheetViews>
    <sheetView tabSelected="1" workbookViewId="0">
      <selection activeCell="AF3" sqref="AF3"/>
    </sheetView>
  </sheetViews>
  <sheetFormatPr defaultRowHeight="14.25" x14ac:dyDescent="0.2"/>
  <sheetData>
    <row r="1" spans="1:33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0</v>
      </c>
      <c r="T1" t="s">
        <v>1</v>
      </c>
      <c r="U1" t="s">
        <v>4</v>
      </c>
      <c r="V1" t="s">
        <v>5</v>
      </c>
      <c r="W1" t="s">
        <v>6</v>
      </c>
      <c r="X1" t="s">
        <v>7</v>
      </c>
      <c r="Y1" t="s">
        <v>8</v>
      </c>
      <c r="Z1" t="s">
        <v>9</v>
      </c>
      <c r="AA1" t="s">
        <v>10</v>
      </c>
      <c r="AB1" t="s">
        <v>11</v>
      </c>
      <c r="AC1" t="s">
        <v>12</v>
      </c>
      <c r="AD1" t="s">
        <v>13</v>
      </c>
      <c r="AE1" t="s">
        <v>14</v>
      </c>
      <c r="AF1" t="s">
        <v>15</v>
      </c>
      <c r="AG1" t="s">
        <v>16</v>
      </c>
    </row>
    <row r="2" spans="1:33" x14ac:dyDescent="0.2">
      <c r="A2">
        <v>2</v>
      </c>
      <c r="B2">
        <v>76</v>
      </c>
      <c r="C2">
        <v>1</v>
      </c>
      <c r="D2">
        <v>20190104</v>
      </c>
      <c r="E2" t="s">
        <v>17</v>
      </c>
      <c r="F2">
        <v>2514.8681999999999</v>
      </c>
      <c r="G2">
        <v>2446.0192999999999</v>
      </c>
      <c r="H2">
        <v>2515.3159999999998</v>
      </c>
      <c r="I2">
        <v>2440.9065999999998</v>
      </c>
      <c r="J2">
        <v>2464.3627999999999</v>
      </c>
      <c r="K2">
        <v>50.505400000000002</v>
      </c>
      <c r="L2">
        <v>2.0493999999999999</v>
      </c>
      <c r="M2">
        <v>168877667</v>
      </c>
      <c r="N2">
        <v>139298675</v>
      </c>
      <c r="O2">
        <v>288</v>
      </c>
      <c r="P2">
        <v>11</v>
      </c>
      <c r="Q2">
        <v>26.18181818</v>
      </c>
      <c r="R2">
        <v>1.0404210389999999</v>
      </c>
      <c r="S2">
        <f>_xlfn.COVARIANCE.P(B:B,$R:$R)</f>
        <v>0.32377198549138231</v>
      </c>
      <c r="T2">
        <f t="shared" ref="T2" si="0">_xlfn.COVARIANCE.P(C:C,$R:$R)</f>
        <v>-0.21031938199280642</v>
      </c>
      <c r="U2">
        <f t="shared" ref="U2" si="1">_xlfn.COVARIANCE.P(F:F,$R:$R)</f>
        <v>4.7304424043685754E-2</v>
      </c>
      <c r="V2">
        <f t="shared" ref="V2" si="2">_xlfn.COVARIANCE.P(G:G,$R:$R)</f>
        <v>-0.24894768902048658</v>
      </c>
      <c r="W2">
        <f t="shared" ref="W2" si="3">_xlfn.COVARIANCE.P(H:H,$R:$R)</f>
        <v>-8.3547772630850572E-2</v>
      </c>
      <c r="X2">
        <f t="shared" ref="X2" si="4">_xlfn.COVARIANCE.P(I:I,$R:$R)</f>
        <v>-0.14452340694590696</v>
      </c>
      <c r="Y2">
        <f t="shared" ref="Y2" si="5">_xlfn.COVARIANCE.P(J:J,$R:$R)</f>
        <v>-0.20966977519436869</v>
      </c>
      <c r="Z2">
        <f t="shared" ref="Z2" si="6">_xlfn.COVARIANCE.P(K:K,$R:$R)</f>
        <v>0.25697419923805459</v>
      </c>
      <c r="AA2">
        <f t="shared" ref="AA2" si="7">_xlfn.COVARIANCE.P(L:L,$R:$R)</f>
        <v>8.7839313853132015E-3</v>
      </c>
      <c r="AB2">
        <f t="shared" ref="AB2" si="8">_xlfn.COVARIANCE.P(M:M,$R:$R)</f>
        <v>105112.10375611046</v>
      </c>
      <c r="AC2">
        <f t="shared" ref="AC2" si="9">_xlfn.COVARIANCE.P(N:N,$R:$R)</f>
        <v>149025.44760831812</v>
      </c>
      <c r="AD2">
        <f t="shared" ref="AD2" si="10">_xlfn.COVARIANCE.P(O:O,$R:$R)</f>
        <v>1.2206035959001336</v>
      </c>
      <c r="AE2">
        <f t="shared" ref="AE2" si="11">_xlfn.COVARIANCE.P(P:P,$R:$R)</f>
        <v>-1.5022788105425442</v>
      </c>
      <c r="AF2">
        <f t="shared" ref="AF2" si="12">_xlfn.COVARIANCE.P(Q:Q,$R:$R)</f>
        <v>0.50791679097264519</v>
      </c>
      <c r="AG2">
        <f t="shared" ref="AG2" si="13">_xlfn.COVARIANCE.P(R:R,$R:$R)</f>
        <v>3.756232851703215E-4</v>
      </c>
    </row>
    <row r="3" spans="1:33" x14ac:dyDescent="0.2">
      <c r="A3">
        <v>3</v>
      </c>
      <c r="B3">
        <v>84</v>
      </c>
      <c r="C3">
        <v>0</v>
      </c>
      <c r="D3">
        <v>20190107</v>
      </c>
      <c r="E3" t="s">
        <v>17</v>
      </c>
      <c r="F3">
        <v>2533.0886999999998</v>
      </c>
      <c r="G3">
        <v>2528.6986999999999</v>
      </c>
      <c r="H3">
        <v>2536.9775</v>
      </c>
      <c r="I3">
        <v>2515.5083</v>
      </c>
      <c r="J3">
        <v>2514.8681999999999</v>
      </c>
      <c r="K3">
        <v>18.220500000000001</v>
      </c>
      <c r="L3">
        <v>0.72450000000000003</v>
      </c>
      <c r="M3">
        <v>177305010</v>
      </c>
      <c r="N3">
        <v>145513241.59999999</v>
      </c>
      <c r="O3">
        <v>235</v>
      </c>
      <c r="P3">
        <v>3</v>
      </c>
      <c r="Q3">
        <v>78.333333330000002</v>
      </c>
      <c r="R3">
        <v>0.99973335799999996</v>
      </c>
      <c r="S3">
        <f>PEARSON(B:B,$R:$R)</f>
        <v>0.40219677907047496</v>
      </c>
      <c r="T3">
        <f t="shared" ref="T3" si="14">PEARSON(C:C,$R:$R)</f>
        <v>-5.5931461492629592E-2</v>
      </c>
      <c r="U3">
        <f>PEARSON(F:F,$R:$R)</f>
        <v>1.6462574170359671E-2</v>
      </c>
      <c r="V3">
        <f>PEARSON(G:G,$R:$R)</f>
        <v>-8.4939752450161415E-2</v>
      </c>
      <c r="W3">
        <f>PEARSON(H:H,$R:$R)</f>
        <v>-2.8588353004044897E-2</v>
      </c>
      <c r="X3">
        <f>PEARSON(I:I,$R:$R)</f>
        <v>-5.0653141640556044E-2</v>
      </c>
      <c r="Y3">
        <f>PEARSON(J:J,$R:$R)</f>
        <v>-7.1712376085185367E-2</v>
      </c>
      <c r="Z3">
        <f>PEARSON(K:K,$R:$R)</f>
        <v>0.36430902448143571</v>
      </c>
      <c r="AA3">
        <f>PEARSON(L:L,$R:$R)</f>
        <v>0.36781355914362174</v>
      </c>
      <c r="AB3">
        <f>PEARSON(M:M,$R:$R)</f>
        <v>5.4515536252646143E-2</v>
      </c>
      <c r="AC3">
        <f>PEARSON(N:N,$R:$R)</f>
        <v>7.9097730548253531E-2</v>
      </c>
      <c r="AD3">
        <f>PEARSON(O:O,$R:$R)</f>
        <v>0.42405291591499567</v>
      </c>
      <c r="AE3">
        <f>PEARSON(P:P,$R:$R)</f>
        <v>-0.2235274393390792</v>
      </c>
      <c r="AF3">
        <f>PEARSON(Q:Q,$R:$R)</f>
        <v>0.26128757962967747</v>
      </c>
    </row>
    <row r="4" spans="1:33" x14ac:dyDescent="0.2">
      <c r="A4">
        <v>4</v>
      </c>
      <c r="B4">
        <v>44</v>
      </c>
      <c r="C4">
        <v>1</v>
      </c>
      <c r="D4">
        <v>20190108</v>
      </c>
      <c r="E4" t="s">
        <v>17</v>
      </c>
      <c r="F4">
        <v>2526.4621999999999</v>
      </c>
      <c r="G4">
        <v>2530.3000999999999</v>
      </c>
      <c r="H4">
        <v>2531.3449999999998</v>
      </c>
      <c r="I4">
        <v>2520.1648</v>
      </c>
      <c r="J4">
        <v>2533.0886</v>
      </c>
      <c r="K4">
        <v>-6.6264000000000003</v>
      </c>
      <c r="L4">
        <v>-0.2616</v>
      </c>
      <c r="M4">
        <v>158099181</v>
      </c>
      <c r="N4">
        <v>123379039.8</v>
      </c>
      <c r="O4">
        <v>96</v>
      </c>
      <c r="P4">
        <v>19</v>
      </c>
      <c r="Q4">
        <v>5.0526315789999998</v>
      </c>
      <c r="R4">
        <v>0.97690298600000003</v>
      </c>
    </row>
    <row r="5" spans="1:33" x14ac:dyDescent="0.2">
      <c r="A5">
        <v>5</v>
      </c>
      <c r="B5">
        <v>60</v>
      </c>
      <c r="C5">
        <v>1</v>
      </c>
      <c r="D5">
        <v>20190109</v>
      </c>
      <c r="E5" t="s">
        <v>17</v>
      </c>
      <c r="F5">
        <v>2544.3449000000001</v>
      </c>
      <c r="G5">
        <v>2536.4173000000001</v>
      </c>
      <c r="H5">
        <v>2574.4079000000002</v>
      </c>
      <c r="I5">
        <v>2536.1570000000002</v>
      </c>
      <c r="J5">
        <v>2526.4621999999999</v>
      </c>
      <c r="K5">
        <v>17.8827</v>
      </c>
      <c r="L5">
        <v>0.70779999999999998</v>
      </c>
      <c r="M5">
        <v>191887930</v>
      </c>
      <c r="N5">
        <v>160812527</v>
      </c>
      <c r="O5">
        <v>106</v>
      </c>
      <c r="P5">
        <v>14</v>
      </c>
      <c r="Q5">
        <v>7.5714285710000002</v>
      </c>
      <c r="R5">
        <v>0.99470228100000002</v>
      </c>
    </row>
    <row r="6" spans="1:33" x14ac:dyDescent="0.2">
      <c r="A6">
        <v>6</v>
      </c>
      <c r="B6">
        <v>48</v>
      </c>
      <c r="C6">
        <v>5</v>
      </c>
      <c r="D6">
        <v>20190110</v>
      </c>
      <c r="E6" t="s">
        <v>17</v>
      </c>
      <c r="F6">
        <v>2535.0985000000001</v>
      </c>
      <c r="G6">
        <v>2543.8534</v>
      </c>
      <c r="H6">
        <v>2551.8256999999999</v>
      </c>
      <c r="I6">
        <v>2531.6637999999998</v>
      </c>
      <c r="J6">
        <v>2544.3449000000001</v>
      </c>
      <c r="K6">
        <v>-9.2463999999999995</v>
      </c>
      <c r="L6">
        <v>-0.3634</v>
      </c>
      <c r="M6">
        <v>159874326</v>
      </c>
      <c r="N6">
        <v>132692331.5</v>
      </c>
      <c r="O6">
        <v>91</v>
      </c>
      <c r="P6">
        <v>36</v>
      </c>
      <c r="Q6">
        <v>2.5277777779999999</v>
      </c>
      <c r="R6">
        <v>0.98153187399999997</v>
      </c>
    </row>
    <row r="7" spans="1:33" x14ac:dyDescent="0.2">
      <c r="A7">
        <v>7</v>
      </c>
      <c r="B7">
        <v>64</v>
      </c>
      <c r="C7">
        <v>7</v>
      </c>
      <c r="D7">
        <v>20190111</v>
      </c>
      <c r="E7" t="s">
        <v>17</v>
      </c>
      <c r="F7">
        <v>2553.8312999999998</v>
      </c>
      <c r="G7">
        <v>2539.5486999999998</v>
      </c>
      <c r="H7">
        <v>2554.7869000000001</v>
      </c>
      <c r="I7">
        <v>2533.3586</v>
      </c>
      <c r="J7">
        <v>2535.0985000000001</v>
      </c>
      <c r="K7">
        <v>18.732800000000001</v>
      </c>
      <c r="L7">
        <v>0.7389</v>
      </c>
      <c r="M7">
        <v>149444100</v>
      </c>
      <c r="N7">
        <v>122375663.40000001</v>
      </c>
      <c r="O7">
        <v>132</v>
      </c>
      <c r="P7">
        <v>21</v>
      </c>
      <c r="Q7">
        <v>6.2857142860000002</v>
      </c>
      <c r="R7">
        <v>1.0029018080000001</v>
      </c>
    </row>
    <row r="8" spans="1:33" x14ac:dyDescent="0.2">
      <c r="A8">
        <v>8</v>
      </c>
      <c r="B8">
        <v>41</v>
      </c>
      <c r="C8">
        <v>11</v>
      </c>
      <c r="D8">
        <v>20190114</v>
      </c>
      <c r="E8" t="s">
        <v>17</v>
      </c>
      <c r="F8">
        <v>2535.7653</v>
      </c>
      <c r="G8">
        <v>2553.3283999999999</v>
      </c>
      <c r="H8">
        <v>2556.2939000000001</v>
      </c>
      <c r="I8">
        <v>2533.0101</v>
      </c>
      <c r="J8">
        <v>2553.8312000000001</v>
      </c>
      <c r="K8">
        <v>-18.065899999999999</v>
      </c>
      <c r="L8">
        <v>-0.70740000000000003</v>
      </c>
      <c r="M8">
        <v>144825464</v>
      </c>
      <c r="N8">
        <v>116243416.8</v>
      </c>
      <c r="O8">
        <v>62</v>
      </c>
      <c r="P8">
        <v>65</v>
      </c>
      <c r="Q8">
        <v>0.95384615399999995</v>
      </c>
      <c r="R8">
        <v>0.95533525100000005</v>
      </c>
    </row>
    <row r="9" spans="1:33" x14ac:dyDescent="0.2">
      <c r="A9">
        <v>9</v>
      </c>
      <c r="B9">
        <v>47</v>
      </c>
      <c r="C9">
        <v>4</v>
      </c>
      <c r="D9">
        <v>20190115</v>
      </c>
      <c r="E9" t="s">
        <v>17</v>
      </c>
      <c r="F9">
        <v>2570.3449000000001</v>
      </c>
      <c r="G9">
        <v>2537.3697000000002</v>
      </c>
      <c r="H9">
        <v>2571.5016000000001</v>
      </c>
      <c r="I9">
        <v>2532.4333000000001</v>
      </c>
      <c r="J9">
        <v>2535.7653</v>
      </c>
      <c r="K9">
        <v>34.579599999999999</v>
      </c>
      <c r="L9">
        <v>1.3636999999999999</v>
      </c>
      <c r="M9">
        <v>160265530</v>
      </c>
      <c r="N9">
        <v>137374981.30000001</v>
      </c>
      <c r="O9">
        <v>121</v>
      </c>
      <c r="P9">
        <v>27</v>
      </c>
      <c r="Q9">
        <v>4.4814814810000003</v>
      </c>
      <c r="R9">
        <v>1.0069627729999999</v>
      </c>
    </row>
    <row r="10" spans="1:33" x14ac:dyDescent="0.2">
      <c r="A10">
        <v>10</v>
      </c>
      <c r="B10">
        <v>31</v>
      </c>
      <c r="C10">
        <v>4</v>
      </c>
      <c r="D10">
        <v>20190116</v>
      </c>
      <c r="E10" t="s">
        <v>17</v>
      </c>
      <c r="F10">
        <v>2570.4220999999998</v>
      </c>
      <c r="G10">
        <v>2569.0697</v>
      </c>
      <c r="H10">
        <v>2574.2361999999998</v>
      </c>
      <c r="I10">
        <v>2563.0061000000001</v>
      </c>
      <c r="J10">
        <v>2570.3449000000001</v>
      </c>
      <c r="K10">
        <v>7.7200000000000005E-2</v>
      </c>
      <c r="L10">
        <v>3.0000000000000001E-3</v>
      </c>
      <c r="M10">
        <v>149301539</v>
      </c>
      <c r="N10">
        <v>126876314.40000001</v>
      </c>
      <c r="O10">
        <v>61</v>
      </c>
      <c r="P10">
        <v>19</v>
      </c>
      <c r="Q10">
        <v>3.2105263160000002</v>
      </c>
      <c r="R10">
        <v>0.98000638200000001</v>
      </c>
    </row>
    <row r="11" spans="1:33" x14ac:dyDescent="0.2">
      <c r="A11">
        <v>11</v>
      </c>
      <c r="B11">
        <v>33</v>
      </c>
      <c r="C11">
        <v>4</v>
      </c>
      <c r="D11">
        <v>20190117</v>
      </c>
      <c r="E11" t="s">
        <v>17</v>
      </c>
      <c r="F11">
        <v>2559.6370000000002</v>
      </c>
      <c r="G11">
        <v>2573.5754999999999</v>
      </c>
      <c r="H11">
        <v>2582.556</v>
      </c>
      <c r="I11">
        <v>2557.7114000000001</v>
      </c>
      <c r="J11">
        <v>2570.422</v>
      </c>
      <c r="K11">
        <v>-10.785</v>
      </c>
      <c r="L11">
        <v>-0.41959999999999997</v>
      </c>
      <c r="M11">
        <v>162468134</v>
      </c>
      <c r="N11">
        <v>127546126.7</v>
      </c>
      <c r="O11">
        <v>52</v>
      </c>
      <c r="P11">
        <v>37</v>
      </c>
      <c r="Q11">
        <v>1.405405405</v>
      </c>
      <c r="R11">
        <v>0.99217001599999999</v>
      </c>
    </row>
    <row r="12" spans="1:33" x14ac:dyDescent="0.2">
      <c r="A12">
        <v>12</v>
      </c>
      <c r="B12">
        <v>32</v>
      </c>
      <c r="C12">
        <v>9</v>
      </c>
      <c r="D12">
        <v>20190118</v>
      </c>
      <c r="E12" t="s">
        <v>17</v>
      </c>
      <c r="F12">
        <v>2596.0056</v>
      </c>
      <c r="G12">
        <v>2567.7386000000001</v>
      </c>
      <c r="H12">
        <v>2598.8836000000001</v>
      </c>
      <c r="I12">
        <v>2565.9043000000001</v>
      </c>
      <c r="J12">
        <v>2559.6370000000002</v>
      </c>
      <c r="K12">
        <v>36.368600000000001</v>
      </c>
      <c r="L12">
        <v>1.4208000000000001</v>
      </c>
      <c r="M12">
        <v>190767237</v>
      </c>
      <c r="N12">
        <v>151270430.59999999</v>
      </c>
      <c r="O12">
        <v>83</v>
      </c>
      <c r="P12">
        <v>49</v>
      </c>
      <c r="Q12">
        <v>1.6938775509999999</v>
      </c>
      <c r="R12">
        <v>0.97322108200000002</v>
      </c>
    </row>
    <row r="13" spans="1:33" x14ac:dyDescent="0.2">
      <c r="A13">
        <v>13</v>
      </c>
      <c r="B13">
        <v>40</v>
      </c>
      <c r="C13">
        <v>6</v>
      </c>
      <c r="D13">
        <v>20190121</v>
      </c>
      <c r="E13" t="s">
        <v>17</v>
      </c>
      <c r="F13">
        <v>2610.5093999999999</v>
      </c>
      <c r="G13">
        <v>2599.0574999999999</v>
      </c>
      <c r="H13">
        <v>2618.9801000000002</v>
      </c>
      <c r="I13">
        <v>2599.0574999999999</v>
      </c>
      <c r="J13">
        <v>2596.0056</v>
      </c>
      <c r="K13">
        <v>14.5038</v>
      </c>
      <c r="L13">
        <v>0.55869999999999997</v>
      </c>
      <c r="M13">
        <v>163425115</v>
      </c>
      <c r="N13">
        <v>139915486.19999999</v>
      </c>
      <c r="O13">
        <v>87</v>
      </c>
      <c r="P13">
        <v>14</v>
      </c>
      <c r="Q13">
        <v>6.2142857139999998</v>
      </c>
      <c r="R13">
        <v>1.0031964069999999</v>
      </c>
    </row>
    <row r="14" spans="1:33" x14ac:dyDescent="0.2">
      <c r="A14">
        <v>14</v>
      </c>
      <c r="B14">
        <v>29</v>
      </c>
      <c r="C14">
        <v>3</v>
      </c>
      <c r="D14">
        <v>20190122</v>
      </c>
      <c r="E14" t="s">
        <v>17</v>
      </c>
      <c r="F14">
        <v>2579.7040999999999</v>
      </c>
      <c r="G14">
        <v>2609.6421</v>
      </c>
      <c r="H14">
        <v>2609.6421</v>
      </c>
      <c r="I14">
        <v>2573.0617000000002</v>
      </c>
      <c r="J14">
        <v>2610.5093999999999</v>
      </c>
      <c r="K14">
        <v>-30.805299999999999</v>
      </c>
      <c r="L14">
        <v>-1.18</v>
      </c>
      <c r="M14">
        <v>152537773</v>
      </c>
      <c r="N14">
        <v>122995435.40000001</v>
      </c>
      <c r="O14">
        <v>51</v>
      </c>
      <c r="P14">
        <v>26</v>
      </c>
      <c r="Q14">
        <v>1.961538462</v>
      </c>
      <c r="R14">
        <v>0.97831338199999995</v>
      </c>
    </row>
    <row r="15" spans="1:33" x14ac:dyDescent="0.2">
      <c r="A15">
        <v>15</v>
      </c>
      <c r="B15">
        <v>42</v>
      </c>
      <c r="C15">
        <v>4</v>
      </c>
      <c r="D15">
        <v>20190123</v>
      </c>
      <c r="E15" t="s">
        <v>17</v>
      </c>
      <c r="F15">
        <v>2581.0041000000001</v>
      </c>
      <c r="G15">
        <v>2575.2583</v>
      </c>
      <c r="H15">
        <v>2589.5128</v>
      </c>
      <c r="I15">
        <v>2572.4054000000001</v>
      </c>
      <c r="J15">
        <v>2579.7040999999999</v>
      </c>
      <c r="K15">
        <v>1.3</v>
      </c>
      <c r="L15">
        <v>5.04E-2</v>
      </c>
      <c r="M15">
        <v>131426798</v>
      </c>
      <c r="N15">
        <v>105101323.59999999</v>
      </c>
      <c r="O15">
        <v>88</v>
      </c>
      <c r="P15">
        <v>19</v>
      </c>
      <c r="Q15">
        <v>4.6315789470000004</v>
      </c>
      <c r="R15">
        <v>1.021030672</v>
      </c>
    </row>
    <row r="16" spans="1:33" x14ac:dyDescent="0.2">
      <c r="A16">
        <v>16</v>
      </c>
      <c r="B16">
        <v>41</v>
      </c>
      <c r="C16">
        <v>5</v>
      </c>
      <c r="D16">
        <v>20190124</v>
      </c>
      <c r="E16" t="s">
        <v>17</v>
      </c>
      <c r="F16">
        <v>2591.6934999999999</v>
      </c>
      <c r="G16">
        <v>2584.6480999999999</v>
      </c>
      <c r="H16">
        <v>2597.2894000000001</v>
      </c>
      <c r="I16">
        <v>2569.7004000000002</v>
      </c>
      <c r="J16">
        <v>2581.0041000000001</v>
      </c>
      <c r="K16">
        <v>10.689399999999999</v>
      </c>
      <c r="L16">
        <v>0.41420000000000001</v>
      </c>
      <c r="M16">
        <v>154042046</v>
      </c>
      <c r="N16">
        <v>131575040.3</v>
      </c>
      <c r="O16">
        <v>82</v>
      </c>
      <c r="P16">
        <v>26</v>
      </c>
      <c r="Q16">
        <v>3.153846154</v>
      </c>
      <c r="R16">
        <v>0.98993819800000005</v>
      </c>
    </row>
    <row r="17" spans="1:18" x14ac:dyDescent="0.2">
      <c r="A17">
        <v>17</v>
      </c>
      <c r="B17">
        <v>40</v>
      </c>
      <c r="C17">
        <v>14</v>
      </c>
      <c r="D17">
        <v>20190125</v>
      </c>
      <c r="E17" t="s">
        <v>17</v>
      </c>
      <c r="F17">
        <v>2601.7233999999999</v>
      </c>
      <c r="G17">
        <v>2596.2618000000002</v>
      </c>
      <c r="H17">
        <v>2617.0021999999999</v>
      </c>
      <c r="I17">
        <v>2595.6293999999998</v>
      </c>
      <c r="J17">
        <v>2591.6934999999999</v>
      </c>
      <c r="K17">
        <v>10.0299</v>
      </c>
      <c r="L17">
        <v>0.38700000000000001</v>
      </c>
      <c r="M17">
        <v>159394026</v>
      </c>
      <c r="N17">
        <v>135415167.69999999</v>
      </c>
      <c r="O17">
        <v>76</v>
      </c>
      <c r="P17">
        <v>112</v>
      </c>
      <c r="Q17">
        <v>0.678571429</v>
      </c>
      <c r="R17">
        <v>0.99273676200000005</v>
      </c>
    </row>
    <row r="18" spans="1:18" x14ac:dyDescent="0.2">
      <c r="A18">
        <v>18</v>
      </c>
      <c r="B18">
        <v>21</v>
      </c>
      <c r="C18">
        <v>26</v>
      </c>
      <c r="D18">
        <v>20190128</v>
      </c>
      <c r="E18" t="s">
        <v>17</v>
      </c>
      <c r="F18">
        <v>2596.9767000000002</v>
      </c>
      <c r="G18">
        <v>2615.7118</v>
      </c>
      <c r="H18">
        <v>2630.3182999999999</v>
      </c>
      <c r="I18">
        <v>2591.1</v>
      </c>
      <c r="J18">
        <v>2601.7233999999999</v>
      </c>
      <c r="K18">
        <v>-4.7466999999999997</v>
      </c>
      <c r="L18">
        <v>-0.18240000000000001</v>
      </c>
      <c r="M18">
        <v>146981765</v>
      </c>
      <c r="N18">
        <v>127465636.7</v>
      </c>
      <c r="O18">
        <v>63</v>
      </c>
      <c r="P18">
        <v>133</v>
      </c>
      <c r="Q18">
        <v>0.47368421100000002</v>
      </c>
      <c r="R18">
        <v>0.96804100599999998</v>
      </c>
    </row>
    <row r="19" spans="1:18" x14ac:dyDescent="0.2">
      <c r="A19">
        <v>19</v>
      </c>
      <c r="B19">
        <v>20</v>
      </c>
      <c r="C19">
        <v>43</v>
      </c>
      <c r="D19">
        <v>20190129</v>
      </c>
      <c r="E19" t="s">
        <v>17</v>
      </c>
      <c r="F19">
        <v>2594.2536</v>
      </c>
      <c r="G19">
        <v>2592.3548999999998</v>
      </c>
      <c r="H19">
        <v>2601.7357999999999</v>
      </c>
      <c r="I19">
        <v>2559.982</v>
      </c>
      <c r="J19">
        <v>2596.9767000000002</v>
      </c>
      <c r="K19">
        <v>-2.7231000000000001</v>
      </c>
      <c r="L19">
        <v>-0.10489999999999999</v>
      </c>
      <c r="M19">
        <v>155581112</v>
      </c>
      <c r="N19">
        <v>126749049.40000001</v>
      </c>
      <c r="O19">
        <v>47</v>
      </c>
      <c r="P19">
        <v>342</v>
      </c>
      <c r="Q19">
        <v>0.13742690099999999</v>
      </c>
      <c r="R19">
        <v>1.0001140930000001</v>
      </c>
    </row>
    <row r="20" spans="1:18" x14ac:dyDescent="0.2">
      <c r="A20">
        <v>20</v>
      </c>
      <c r="B20">
        <v>20</v>
      </c>
      <c r="C20">
        <v>63</v>
      </c>
      <c r="D20">
        <v>20190130</v>
      </c>
      <c r="E20" t="s">
        <v>17</v>
      </c>
      <c r="F20">
        <v>2575.5756000000001</v>
      </c>
      <c r="G20">
        <v>2584.7458999999999</v>
      </c>
      <c r="H20">
        <v>2598.8150000000001</v>
      </c>
      <c r="I20">
        <v>2575.4090999999999</v>
      </c>
      <c r="J20">
        <v>2594.2536</v>
      </c>
      <c r="K20">
        <v>-18.678000000000001</v>
      </c>
      <c r="L20">
        <v>-0.72</v>
      </c>
      <c r="M20">
        <v>120502571</v>
      </c>
      <c r="N20">
        <v>101103927.5</v>
      </c>
      <c r="O20">
        <v>37</v>
      </c>
      <c r="P20">
        <v>229</v>
      </c>
      <c r="Q20">
        <v>0.16157205199999999</v>
      </c>
      <c r="R20">
        <v>0.97740663000000005</v>
      </c>
    </row>
    <row r="21" spans="1:18" x14ac:dyDescent="0.2">
      <c r="A21">
        <v>21</v>
      </c>
      <c r="B21">
        <v>16</v>
      </c>
      <c r="C21">
        <v>101</v>
      </c>
      <c r="D21">
        <v>20190131</v>
      </c>
      <c r="E21" t="s">
        <v>17</v>
      </c>
      <c r="F21">
        <v>2584.5724</v>
      </c>
      <c r="G21">
        <v>2581.3314999999998</v>
      </c>
      <c r="H21">
        <v>2606.6282999999999</v>
      </c>
      <c r="I21">
        <v>2571.5789</v>
      </c>
      <c r="J21">
        <v>2575.5756000000001</v>
      </c>
      <c r="K21">
        <v>8.9968000000000004</v>
      </c>
      <c r="L21">
        <v>0.3493</v>
      </c>
      <c r="M21">
        <v>154303869</v>
      </c>
      <c r="N21">
        <v>126013247.40000001</v>
      </c>
      <c r="O21">
        <v>44</v>
      </c>
      <c r="P21">
        <v>449</v>
      </c>
      <c r="Q21">
        <v>9.7995546000000003E-2</v>
      </c>
      <c r="R21">
        <v>0.97295820300000002</v>
      </c>
    </row>
    <row r="22" spans="1:18" x14ac:dyDescent="0.2">
      <c r="A22">
        <v>22</v>
      </c>
      <c r="B22">
        <v>43</v>
      </c>
      <c r="C22">
        <v>8</v>
      </c>
      <c r="D22">
        <v>20190201</v>
      </c>
      <c r="E22" t="s">
        <v>17</v>
      </c>
      <c r="F22">
        <v>2618.2323000000001</v>
      </c>
      <c r="G22">
        <v>2597.7777000000001</v>
      </c>
      <c r="H22">
        <v>2618.4765000000002</v>
      </c>
      <c r="I22">
        <v>2590.5542999999998</v>
      </c>
      <c r="J22">
        <v>2584.5724</v>
      </c>
      <c r="K22">
        <v>33.6599</v>
      </c>
      <c r="L22">
        <v>1.3023</v>
      </c>
      <c r="M22">
        <v>131986850</v>
      </c>
      <c r="N22">
        <v>111522628.3</v>
      </c>
      <c r="O22">
        <v>349</v>
      </c>
      <c r="P22">
        <v>21</v>
      </c>
      <c r="Q22">
        <v>16.61904762</v>
      </c>
      <c r="R22">
        <v>0.99923631800000001</v>
      </c>
    </row>
    <row r="23" spans="1:18" x14ac:dyDescent="0.2">
      <c r="A23">
        <v>23</v>
      </c>
      <c r="B23">
        <v>78</v>
      </c>
      <c r="C23">
        <v>5</v>
      </c>
      <c r="D23">
        <v>20190211</v>
      </c>
      <c r="E23" t="s">
        <v>17</v>
      </c>
      <c r="F23">
        <v>2653.8960000000002</v>
      </c>
      <c r="G23">
        <v>2613.1741999999999</v>
      </c>
      <c r="H23">
        <v>2654.0963999999999</v>
      </c>
      <c r="I23">
        <v>2613.1741999999999</v>
      </c>
      <c r="J23">
        <v>2618.2323000000001</v>
      </c>
      <c r="K23">
        <v>35.663699999999999</v>
      </c>
      <c r="L23">
        <v>1.3621000000000001</v>
      </c>
      <c r="M23">
        <v>154898858</v>
      </c>
      <c r="N23">
        <v>137307190</v>
      </c>
      <c r="O23">
        <v>281</v>
      </c>
      <c r="P23">
        <v>7</v>
      </c>
      <c r="Q23">
        <v>40.142857139999997</v>
      </c>
      <c r="R23">
        <v>1.016980714</v>
      </c>
    </row>
    <row r="24" spans="1:18" x14ac:dyDescent="0.2">
      <c r="A24">
        <v>24</v>
      </c>
      <c r="B24">
        <v>66</v>
      </c>
      <c r="C24">
        <v>1</v>
      </c>
      <c r="D24">
        <v>20190212</v>
      </c>
      <c r="E24" t="s">
        <v>17</v>
      </c>
      <c r="F24">
        <v>2671.8937000000001</v>
      </c>
      <c r="G24">
        <v>2654.0349000000001</v>
      </c>
      <c r="H24">
        <v>2674.4778000000001</v>
      </c>
      <c r="I24">
        <v>2648.8294999999998</v>
      </c>
      <c r="J24">
        <v>2653.8960000000002</v>
      </c>
      <c r="K24">
        <v>17.997699999999998</v>
      </c>
      <c r="L24">
        <v>0.67820000000000003</v>
      </c>
      <c r="M24">
        <v>184101179</v>
      </c>
      <c r="N24">
        <v>156741540.40000001</v>
      </c>
      <c r="O24">
        <v>158</v>
      </c>
      <c r="P24">
        <v>2</v>
      </c>
      <c r="Q24">
        <v>79</v>
      </c>
      <c r="R24">
        <v>1.01266543</v>
      </c>
    </row>
    <row r="25" spans="1:18" x14ac:dyDescent="0.2">
      <c r="A25">
        <v>25</v>
      </c>
      <c r="B25">
        <v>81</v>
      </c>
      <c r="C25">
        <v>0</v>
      </c>
      <c r="D25">
        <v>20190213</v>
      </c>
      <c r="E25" t="s">
        <v>17</v>
      </c>
      <c r="F25">
        <v>2721.0682999999999</v>
      </c>
      <c r="G25">
        <v>2674.5198</v>
      </c>
      <c r="H25">
        <v>2727.0749999999998</v>
      </c>
      <c r="I25">
        <v>2666.5219999999999</v>
      </c>
      <c r="J25">
        <v>2671.8937000000001</v>
      </c>
      <c r="K25">
        <v>49.174599999999998</v>
      </c>
      <c r="L25">
        <v>1.8404</v>
      </c>
      <c r="M25">
        <v>243794010</v>
      </c>
      <c r="N25">
        <v>207125315.90000001</v>
      </c>
      <c r="O25">
        <v>187</v>
      </c>
      <c r="P25">
        <v>2</v>
      </c>
      <c r="Q25">
        <v>93.5</v>
      </c>
      <c r="R25">
        <v>1.0022040510000001</v>
      </c>
    </row>
    <row r="26" spans="1:18" x14ac:dyDescent="0.2">
      <c r="A26">
        <v>26</v>
      </c>
      <c r="B26">
        <v>49</v>
      </c>
      <c r="C26">
        <v>2</v>
      </c>
      <c r="D26">
        <v>20190214</v>
      </c>
      <c r="E26" t="s">
        <v>17</v>
      </c>
      <c r="F26">
        <v>2719.6999000000001</v>
      </c>
      <c r="G26">
        <v>2715.5358000000001</v>
      </c>
      <c r="H26">
        <v>2729.4549999999999</v>
      </c>
      <c r="I26">
        <v>2707.4865</v>
      </c>
      <c r="J26">
        <v>2721.0682999999999</v>
      </c>
      <c r="K26">
        <v>-1.3684000000000001</v>
      </c>
      <c r="L26">
        <v>-5.0299999999999997E-2</v>
      </c>
      <c r="M26">
        <v>197037349</v>
      </c>
      <c r="N26">
        <v>170330837.09999999</v>
      </c>
      <c r="O26">
        <v>113</v>
      </c>
      <c r="P26">
        <v>3</v>
      </c>
      <c r="Q26">
        <v>37.666666669999998</v>
      </c>
      <c r="R26">
        <v>0.98753046</v>
      </c>
    </row>
    <row r="27" spans="1:18" x14ac:dyDescent="0.2">
      <c r="A27">
        <v>27</v>
      </c>
      <c r="B27">
        <v>55</v>
      </c>
      <c r="C27">
        <v>1</v>
      </c>
      <c r="D27">
        <v>20190215</v>
      </c>
      <c r="E27" t="s">
        <v>17</v>
      </c>
      <c r="F27">
        <v>2682.3850000000002</v>
      </c>
      <c r="G27">
        <v>2712.7862</v>
      </c>
      <c r="H27">
        <v>2715.6320999999998</v>
      </c>
      <c r="I27">
        <v>2679.7849000000001</v>
      </c>
      <c r="J27">
        <v>2719.6999000000001</v>
      </c>
      <c r="K27">
        <v>-37.314900000000002</v>
      </c>
      <c r="L27">
        <v>-1.3720000000000001</v>
      </c>
      <c r="M27">
        <v>196004265</v>
      </c>
      <c r="N27">
        <v>169823260.30000001</v>
      </c>
      <c r="O27">
        <v>89</v>
      </c>
      <c r="P27">
        <v>11</v>
      </c>
      <c r="Q27">
        <v>8.0909090910000003</v>
      </c>
      <c r="R27">
        <v>1.021694959</v>
      </c>
    </row>
    <row r="28" spans="1:18" x14ac:dyDescent="0.2">
      <c r="A28">
        <v>28</v>
      </c>
      <c r="B28">
        <v>118</v>
      </c>
      <c r="C28">
        <v>0</v>
      </c>
      <c r="D28">
        <v>20190218</v>
      </c>
      <c r="E28" t="s">
        <v>17</v>
      </c>
      <c r="F28">
        <v>2754.3566000000001</v>
      </c>
      <c r="G28">
        <v>2699.8171000000002</v>
      </c>
      <c r="H28">
        <v>2754.3566000000001</v>
      </c>
      <c r="I28">
        <v>2699.8171000000002</v>
      </c>
      <c r="J28">
        <v>2682.3850000000002</v>
      </c>
      <c r="K28">
        <v>71.971599999999995</v>
      </c>
      <c r="L28">
        <v>2.6831</v>
      </c>
      <c r="M28">
        <v>260436007</v>
      </c>
      <c r="N28">
        <v>224184077.19999999</v>
      </c>
      <c r="O28">
        <v>441</v>
      </c>
      <c r="P28">
        <v>1</v>
      </c>
      <c r="Q28">
        <v>441</v>
      </c>
      <c r="R28">
        <v>1.0270888970000001</v>
      </c>
    </row>
    <row r="29" spans="1:18" x14ac:dyDescent="0.2">
      <c r="A29">
        <v>29</v>
      </c>
      <c r="B29">
        <v>75</v>
      </c>
      <c r="C29">
        <v>0</v>
      </c>
      <c r="D29">
        <v>20190219</v>
      </c>
      <c r="E29" t="s">
        <v>17</v>
      </c>
      <c r="F29">
        <v>2755.6459</v>
      </c>
      <c r="G29">
        <v>2759.4960000000001</v>
      </c>
      <c r="H29">
        <v>2780.7837</v>
      </c>
      <c r="I29">
        <v>2737.5864000000001</v>
      </c>
      <c r="J29">
        <v>2754.3566000000001</v>
      </c>
      <c r="K29">
        <v>1.2892999999999999</v>
      </c>
      <c r="L29">
        <v>4.6800000000000001E-2</v>
      </c>
      <c r="M29">
        <v>288046271</v>
      </c>
      <c r="N29">
        <v>247121050.5</v>
      </c>
      <c r="O29">
        <v>162</v>
      </c>
      <c r="P29">
        <v>4</v>
      </c>
      <c r="Q29">
        <v>40.5</v>
      </c>
      <c r="R29">
        <v>0.99401025899999995</v>
      </c>
    </row>
    <row r="30" spans="1:18" x14ac:dyDescent="0.2">
      <c r="A30">
        <v>30</v>
      </c>
      <c r="B30">
        <v>65</v>
      </c>
      <c r="C30">
        <v>0</v>
      </c>
      <c r="D30">
        <v>20190220</v>
      </c>
      <c r="E30" t="s">
        <v>17</v>
      </c>
      <c r="F30">
        <v>2761.2188999999998</v>
      </c>
      <c r="G30">
        <v>2761.0587999999998</v>
      </c>
      <c r="H30">
        <v>2767.4108999999999</v>
      </c>
      <c r="I30">
        <v>2739.9783000000002</v>
      </c>
      <c r="J30">
        <v>2755.6459</v>
      </c>
      <c r="K30">
        <v>5.5730000000000004</v>
      </c>
      <c r="L30">
        <v>0.20219999999999999</v>
      </c>
      <c r="M30">
        <v>245972527</v>
      </c>
      <c r="N30">
        <v>205446929.30000001</v>
      </c>
      <c r="O30">
        <v>135</v>
      </c>
      <c r="P30">
        <v>19</v>
      </c>
      <c r="Q30">
        <v>7.1052631579999996</v>
      </c>
      <c r="R30">
        <v>0.98861276300000001</v>
      </c>
    </row>
    <row r="31" spans="1:18" x14ac:dyDescent="0.2">
      <c r="A31">
        <v>31</v>
      </c>
      <c r="B31">
        <v>71</v>
      </c>
      <c r="C31">
        <v>0</v>
      </c>
      <c r="D31">
        <v>20190221</v>
      </c>
      <c r="E31" t="s">
        <v>17</v>
      </c>
      <c r="F31">
        <v>2751.8011999999999</v>
      </c>
      <c r="G31">
        <v>2759.9382999999998</v>
      </c>
      <c r="H31">
        <v>2794.0131000000001</v>
      </c>
      <c r="I31">
        <v>2744.9762000000001</v>
      </c>
      <c r="J31">
        <v>2761.2188999999998</v>
      </c>
      <c r="K31">
        <v>-9.4177</v>
      </c>
      <c r="L31">
        <v>-0.34110000000000001</v>
      </c>
      <c r="M31">
        <v>298649969</v>
      </c>
      <c r="N31">
        <v>253033376.90000001</v>
      </c>
      <c r="O31">
        <v>123</v>
      </c>
      <c r="P31">
        <v>13</v>
      </c>
      <c r="Q31">
        <v>9.461538462</v>
      </c>
      <c r="R31">
        <v>0.99752913200000004</v>
      </c>
    </row>
    <row r="32" spans="1:18" x14ac:dyDescent="0.2">
      <c r="A32">
        <v>32</v>
      </c>
      <c r="B32">
        <v>137</v>
      </c>
      <c r="C32">
        <v>1</v>
      </c>
      <c r="D32">
        <v>20190222</v>
      </c>
      <c r="E32" t="s">
        <v>17</v>
      </c>
      <c r="F32">
        <v>2804.2262000000001</v>
      </c>
      <c r="G32">
        <v>2749.4614999999999</v>
      </c>
      <c r="H32">
        <v>2804.2262000000001</v>
      </c>
      <c r="I32">
        <v>2736.3323999999998</v>
      </c>
      <c r="J32">
        <v>2751.8011999999999</v>
      </c>
      <c r="K32">
        <v>52.424999999999997</v>
      </c>
      <c r="L32">
        <v>1.9051</v>
      </c>
      <c r="M32">
        <v>301481411</v>
      </c>
      <c r="N32">
        <v>264518879.19999999</v>
      </c>
      <c r="O32">
        <v>390</v>
      </c>
      <c r="P32">
        <v>5</v>
      </c>
      <c r="Q32">
        <v>78</v>
      </c>
      <c r="R32">
        <v>1.0282238079999999</v>
      </c>
    </row>
    <row r="33" spans="1:18" x14ac:dyDescent="0.2">
      <c r="A33">
        <v>33</v>
      </c>
      <c r="B33">
        <v>297</v>
      </c>
      <c r="C33">
        <v>0</v>
      </c>
      <c r="D33">
        <v>20190225</v>
      </c>
      <c r="E33" t="s">
        <v>17</v>
      </c>
      <c r="F33">
        <v>2961.2833999999998</v>
      </c>
      <c r="G33">
        <v>2838.3896</v>
      </c>
      <c r="H33">
        <v>2961.7950999999998</v>
      </c>
      <c r="I33">
        <v>2838.3896</v>
      </c>
      <c r="J33">
        <v>2804.2262000000001</v>
      </c>
      <c r="K33">
        <v>157.05719999999999</v>
      </c>
      <c r="L33">
        <v>5.6006999999999998</v>
      </c>
      <c r="M33">
        <v>528658590</v>
      </c>
      <c r="N33">
        <v>465991432.60000002</v>
      </c>
      <c r="O33">
        <v>1309</v>
      </c>
      <c r="P33">
        <v>1</v>
      </c>
      <c r="Q33">
        <v>1309</v>
      </c>
      <c r="R33">
        <v>1.021279314</v>
      </c>
    </row>
    <row r="34" spans="1:18" x14ac:dyDescent="0.2">
      <c r="A34">
        <v>34</v>
      </c>
      <c r="B34">
        <v>100</v>
      </c>
      <c r="C34">
        <v>12</v>
      </c>
      <c r="D34">
        <v>20190226</v>
      </c>
      <c r="E34" t="s">
        <v>17</v>
      </c>
      <c r="F34">
        <v>2941.5162999999998</v>
      </c>
      <c r="G34">
        <v>2969.0976000000001</v>
      </c>
      <c r="H34">
        <v>2995.6761999999999</v>
      </c>
      <c r="I34">
        <v>2938.6226999999999</v>
      </c>
      <c r="J34">
        <v>2961.2833999999998</v>
      </c>
      <c r="K34">
        <v>-19.767099999999999</v>
      </c>
      <c r="L34">
        <v>-0.66749999999999998</v>
      </c>
      <c r="M34">
        <v>565557967</v>
      </c>
      <c r="N34">
        <v>492396545.19999999</v>
      </c>
      <c r="O34">
        <v>193</v>
      </c>
      <c r="P34">
        <v>83</v>
      </c>
      <c r="Q34">
        <v>2.3253012050000001</v>
      </c>
      <c r="R34">
        <v>0.97794370399999997</v>
      </c>
    </row>
    <row r="35" spans="1:18" x14ac:dyDescent="0.2">
      <c r="A35">
        <v>35</v>
      </c>
      <c r="B35">
        <v>71</v>
      </c>
      <c r="C35">
        <v>21</v>
      </c>
      <c r="D35">
        <v>20190227</v>
      </c>
      <c r="E35" t="s">
        <v>17</v>
      </c>
      <c r="F35">
        <v>2953.8242</v>
      </c>
      <c r="G35">
        <v>2939.9286999999999</v>
      </c>
      <c r="H35">
        <v>2997.4881999999998</v>
      </c>
      <c r="I35">
        <v>2924.6432</v>
      </c>
      <c r="J35">
        <v>2941.5162999999998</v>
      </c>
      <c r="K35">
        <v>12.3079</v>
      </c>
      <c r="L35">
        <v>0.41839999999999999</v>
      </c>
      <c r="M35">
        <v>474976453</v>
      </c>
      <c r="N35">
        <v>411837618.69999999</v>
      </c>
      <c r="O35">
        <v>168</v>
      </c>
      <c r="P35">
        <v>95</v>
      </c>
      <c r="Q35">
        <v>1.768421053</v>
      </c>
      <c r="R35">
        <v>0.97406879000000002</v>
      </c>
    </row>
    <row r="36" spans="1:18" x14ac:dyDescent="0.2">
      <c r="A36">
        <v>36</v>
      </c>
      <c r="B36">
        <v>50</v>
      </c>
      <c r="C36">
        <v>23</v>
      </c>
      <c r="D36">
        <v>20190228</v>
      </c>
      <c r="E36" t="s">
        <v>17</v>
      </c>
      <c r="F36">
        <v>2940.9537999999998</v>
      </c>
      <c r="G36">
        <v>2950.0547999999999</v>
      </c>
      <c r="H36">
        <v>2965.3036999999999</v>
      </c>
      <c r="I36">
        <v>2930.1950000000002</v>
      </c>
      <c r="J36">
        <v>2953.8242</v>
      </c>
      <c r="K36">
        <v>-12.8704</v>
      </c>
      <c r="L36">
        <v>-0.43569999999999998</v>
      </c>
      <c r="M36">
        <v>350206602</v>
      </c>
      <c r="N36">
        <v>298763953.10000002</v>
      </c>
      <c r="O36">
        <v>137</v>
      </c>
      <c r="P36">
        <v>114</v>
      </c>
      <c r="Q36">
        <v>1.201754386</v>
      </c>
      <c r="R36">
        <v>0.97852167000000001</v>
      </c>
    </row>
    <row r="37" spans="1:18" x14ac:dyDescent="0.2">
      <c r="A37">
        <v>37</v>
      </c>
      <c r="B37">
        <v>58</v>
      </c>
      <c r="C37">
        <v>0</v>
      </c>
      <c r="D37">
        <v>20190301</v>
      </c>
      <c r="E37" t="s">
        <v>17</v>
      </c>
      <c r="F37">
        <v>2994.0050000000001</v>
      </c>
      <c r="G37">
        <v>2954.4020999999998</v>
      </c>
      <c r="H37">
        <v>2994.0050000000001</v>
      </c>
      <c r="I37">
        <v>2930.8344999999999</v>
      </c>
      <c r="J37">
        <v>2940.9537999999998</v>
      </c>
      <c r="K37">
        <v>53.051200000000001</v>
      </c>
      <c r="L37">
        <v>1.8039000000000001</v>
      </c>
      <c r="M37">
        <v>345786200</v>
      </c>
      <c r="N37">
        <v>307337666.69999999</v>
      </c>
      <c r="O37">
        <v>162</v>
      </c>
      <c r="P37">
        <v>6</v>
      </c>
      <c r="Q37">
        <v>27</v>
      </c>
      <c r="R37">
        <v>0.98876935499999996</v>
      </c>
    </row>
    <row r="38" spans="1:18" x14ac:dyDescent="0.2">
      <c r="A38">
        <v>38</v>
      </c>
      <c r="B38">
        <v>134</v>
      </c>
      <c r="C38">
        <v>0</v>
      </c>
      <c r="D38">
        <v>20190304</v>
      </c>
      <c r="E38" t="s">
        <v>17</v>
      </c>
      <c r="F38">
        <v>3027.5754999999999</v>
      </c>
      <c r="G38">
        <v>3015.9427000000001</v>
      </c>
      <c r="H38">
        <v>3090.7959000000001</v>
      </c>
      <c r="I38">
        <v>3006.9416999999999</v>
      </c>
      <c r="J38">
        <v>2994.0050000000001</v>
      </c>
      <c r="K38">
        <v>33.570500000000003</v>
      </c>
      <c r="L38">
        <v>1.1213</v>
      </c>
      <c r="M38">
        <v>525649436</v>
      </c>
      <c r="N38">
        <v>480603655.5</v>
      </c>
      <c r="O38">
        <v>322</v>
      </c>
      <c r="P38">
        <v>1</v>
      </c>
      <c r="Q38">
        <v>322</v>
      </c>
      <c r="R38">
        <v>1.0275220460000001</v>
      </c>
    </row>
    <row r="39" spans="1:18" x14ac:dyDescent="0.2">
      <c r="A39">
        <v>39</v>
      </c>
      <c r="B39">
        <v>194</v>
      </c>
      <c r="C39">
        <v>0</v>
      </c>
      <c r="D39">
        <v>20190305</v>
      </c>
      <c r="E39" t="s">
        <v>17</v>
      </c>
      <c r="F39">
        <v>3054.2465999999999</v>
      </c>
      <c r="G39">
        <v>3019.8797</v>
      </c>
      <c r="H39">
        <v>3054.9616999999998</v>
      </c>
      <c r="I39">
        <v>3009.4476</v>
      </c>
      <c r="J39">
        <v>3027.5754999999999</v>
      </c>
      <c r="K39">
        <v>26.671099999999999</v>
      </c>
      <c r="L39">
        <v>0.88090000000000002</v>
      </c>
      <c r="M39">
        <v>424142529</v>
      </c>
      <c r="N39">
        <v>382768537.19999999</v>
      </c>
      <c r="O39">
        <v>566</v>
      </c>
      <c r="P39">
        <v>1</v>
      </c>
      <c r="Q39">
        <v>566</v>
      </c>
      <c r="R39">
        <v>1.0404380639999999</v>
      </c>
    </row>
    <row r="40" spans="1:18" x14ac:dyDescent="0.2">
      <c r="A40">
        <v>40</v>
      </c>
      <c r="B40">
        <v>189</v>
      </c>
      <c r="C40">
        <v>0</v>
      </c>
      <c r="D40">
        <v>20190306</v>
      </c>
      <c r="E40" t="s">
        <v>17</v>
      </c>
      <c r="F40">
        <v>3102.0990999999999</v>
      </c>
      <c r="G40">
        <v>3060.4326999999998</v>
      </c>
      <c r="H40">
        <v>3103.8251</v>
      </c>
      <c r="I40">
        <v>3050.1113</v>
      </c>
      <c r="J40">
        <v>3054.2465999999999</v>
      </c>
      <c r="K40">
        <v>47.852499999999999</v>
      </c>
      <c r="L40">
        <v>1.5668</v>
      </c>
      <c r="M40">
        <v>555006365</v>
      </c>
      <c r="N40">
        <v>485478321.30000001</v>
      </c>
      <c r="O40">
        <v>428</v>
      </c>
      <c r="P40">
        <v>2</v>
      </c>
      <c r="Q40">
        <v>214</v>
      </c>
      <c r="R40">
        <v>0.99814617299999997</v>
      </c>
    </row>
    <row r="41" spans="1:18" x14ac:dyDescent="0.2">
      <c r="A41">
        <v>41</v>
      </c>
      <c r="B41">
        <v>224</v>
      </c>
      <c r="C41">
        <v>1</v>
      </c>
      <c r="D41">
        <v>20190307</v>
      </c>
      <c r="E41" t="s">
        <v>17</v>
      </c>
      <c r="F41">
        <v>3106.4178999999999</v>
      </c>
      <c r="G41">
        <v>3103.6677</v>
      </c>
      <c r="H41">
        <v>3129.9395</v>
      </c>
      <c r="I41">
        <v>3074.9784</v>
      </c>
      <c r="J41">
        <v>3102.0990999999999</v>
      </c>
      <c r="K41">
        <v>4.3188000000000004</v>
      </c>
      <c r="L41">
        <v>0.13919999999999999</v>
      </c>
      <c r="M41">
        <v>583817065</v>
      </c>
      <c r="N41">
        <v>525725224.69999999</v>
      </c>
      <c r="O41">
        <v>456</v>
      </c>
      <c r="P41">
        <v>8</v>
      </c>
      <c r="Q41">
        <v>57</v>
      </c>
      <c r="R41">
        <v>1.0222598409999999</v>
      </c>
    </row>
    <row r="42" spans="1:18" x14ac:dyDescent="0.2">
      <c r="A42">
        <v>42</v>
      </c>
      <c r="B42">
        <v>70</v>
      </c>
      <c r="C42">
        <v>215</v>
      </c>
      <c r="D42">
        <v>20190308</v>
      </c>
      <c r="E42" t="s">
        <v>17</v>
      </c>
      <c r="F42">
        <v>2969.8613999999998</v>
      </c>
      <c r="G42">
        <v>3038.3362000000002</v>
      </c>
      <c r="H42">
        <v>3075.0461</v>
      </c>
      <c r="I42">
        <v>2969.5814999999998</v>
      </c>
      <c r="J42">
        <v>3106.4178999999999</v>
      </c>
      <c r="K42">
        <v>-136.5565</v>
      </c>
      <c r="L42">
        <v>-4.3959000000000001</v>
      </c>
      <c r="M42">
        <v>577855473</v>
      </c>
      <c r="N42">
        <v>525598246.39999998</v>
      </c>
      <c r="O42">
        <v>121</v>
      </c>
      <c r="P42">
        <v>1878</v>
      </c>
      <c r="Q42">
        <v>6.4430244999999997E-2</v>
      </c>
      <c r="R42">
        <v>0.98727605100000004</v>
      </c>
    </row>
    <row r="43" spans="1:18" x14ac:dyDescent="0.2">
      <c r="A43">
        <v>43</v>
      </c>
      <c r="B43">
        <v>252</v>
      </c>
      <c r="C43">
        <v>5</v>
      </c>
      <c r="D43">
        <v>20190311</v>
      </c>
      <c r="E43" t="s">
        <v>17</v>
      </c>
      <c r="F43">
        <v>3026.9924999999998</v>
      </c>
      <c r="G43">
        <v>2969.0801999999999</v>
      </c>
      <c r="H43">
        <v>3028.2543000000001</v>
      </c>
      <c r="I43">
        <v>2963.5834</v>
      </c>
      <c r="J43">
        <v>2969.8613999999998</v>
      </c>
      <c r="K43">
        <v>57.131100000000004</v>
      </c>
      <c r="L43">
        <v>1.9237</v>
      </c>
      <c r="M43">
        <v>426213029</v>
      </c>
      <c r="N43">
        <v>404368420.30000001</v>
      </c>
      <c r="O43">
        <v>1099</v>
      </c>
      <c r="P43">
        <v>22</v>
      </c>
      <c r="Q43">
        <v>49.954545449999998</v>
      </c>
      <c r="R43">
        <v>0.977257131</v>
      </c>
    </row>
    <row r="44" spans="1:18" x14ac:dyDescent="0.2">
      <c r="A44">
        <v>44</v>
      </c>
      <c r="B44">
        <v>153</v>
      </c>
      <c r="C44">
        <v>0</v>
      </c>
      <c r="D44">
        <v>20190312</v>
      </c>
      <c r="E44" t="s">
        <v>17</v>
      </c>
      <c r="F44">
        <v>3060.3072999999999</v>
      </c>
      <c r="G44">
        <v>3049.0844000000002</v>
      </c>
      <c r="H44">
        <v>3093.3912999999998</v>
      </c>
      <c r="I44">
        <v>3029.8998999999999</v>
      </c>
      <c r="J44">
        <v>3026.9924999999998</v>
      </c>
      <c r="K44">
        <v>33.314799999999998</v>
      </c>
      <c r="L44">
        <v>1.1006</v>
      </c>
      <c r="M44">
        <v>511173158</v>
      </c>
      <c r="N44">
        <v>487066630.19999999</v>
      </c>
      <c r="O44">
        <v>398</v>
      </c>
      <c r="P44">
        <v>1</v>
      </c>
      <c r="Q44">
        <v>398</v>
      </c>
      <c r="R44">
        <v>0.98904610900000001</v>
      </c>
    </row>
    <row r="45" spans="1:18" x14ac:dyDescent="0.2">
      <c r="A45">
        <v>45</v>
      </c>
      <c r="B45">
        <v>59</v>
      </c>
      <c r="C45">
        <v>47</v>
      </c>
      <c r="D45">
        <v>20190313</v>
      </c>
      <c r="E45" t="s">
        <v>17</v>
      </c>
      <c r="F45">
        <v>3026.9513000000002</v>
      </c>
      <c r="G45">
        <v>3062.3267000000001</v>
      </c>
      <c r="H45">
        <v>3065.2883999999999</v>
      </c>
      <c r="I45">
        <v>3013.9319</v>
      </c>
      <c r="J45">
        <v>3060.3072999999999</v>
      </c>
      <c r="K45">
        <v>-33.356000000000002</v>
      </c>
      <c r="L45">
        <v>-1.0900000000000001</v>
      </c>
      <c r="M45">
        <v>453214625</v>
      </c>
      <c r="N45">
        <v>451247303.69999999</v>
      </c>
      <c r="O45">
        <v>110</v>
      </c>
      <c r="P45">
        <v>517</v>
      </c>
      <c r="Q45">
        <v>0.21276595700000001</v>
      </c>
      <c r="R45">
        <v>0.95722728499999998</v>
      </c>
    </row>
    <row r="46" spans="1:18" x14ac:dyDescent="0.2">
      <c r="A46">
        <v>46</v>
      </c>
      <c r="B46">
        <v>29</v>
      </c>
      <c r="C46">
        <v>90</v>
      </c>
      <c r="D46">
        <v>20190314</v>
      </c>
      <c r="E46" t="s">
        <v>17</v>
      </c>
      <c r="F46">
        <v>2990.6849999999999</v>
      </c>
      <c r="G46">
        <v>3013.5970000000002</v>
      </c>
      <c r="H46">
        <v>3041.1556999999998</v>
      </c>
      <c r="I46">
        <v>2968.8236999999999</v>
      </c>
      <c r="J46">
        <v>3026.9513000000002</v>
      </c>
      <c r="K46">
        <v>-36.266300000000001</v>
      </c>
      <c r="L46">
        <v>-1.1980999999999999</v>
      </c>
      <c r="M46">
        <v>373141798</v>
      </c>
      <c r="N46">
        <v>356240351.19999999</v>
      </c>
      <c r="O46">
        <v>69</v>
      </c>
      <c r="P46">
        <v>692</v>
      </c>
      <c r="Q46">
        <v>9.9710983000000003E-2</v>
      </c>
      <c r="R46">
        <v>0.96368434700000005</v>
      </c>
    </row>
    <row r="47" spans="1:18" x14ac:dyDescent="0.2">
      <c r="A47">
        <v>47</v>
      </c>
      <c r="B47">
        <v>77</v>
      </c>
      <c r="C47">
        <v>6</v>
      </c>
      <c r="D47">
        <v>20190315</v>
      </c>
      <c r="E47" t="s">
        <v>17</v>
      </c>
      <c r="F47">
        <v>3021.7512000000002</v>
      </c>
      <c r="G47">
        <v>3000.8789000000002</v>
      </c>
      <c r="H47">
        <v>3048.1212</v>
      </c>
      <c r="I47">
        <v>2999.4317000000001</v>
      </c>
      <c r="J47">
        <v>2990.6849999999999</v>
      </c>
      <c r="K47">
        <v>31.066199999999998</v>
      </c>
      <c r="L47">
        <v>1.0387999999999999</v>
      </c>
      <c r="M47">
        <v>341206139</v>
      </c>
      <c r="N47">
        <v>344721502.69999999</v>
      </c>
      <c r="O47">
        <v>308</v>
      </c>
      <c r="P47">
        <v>30</v>
      </c>
      <c r="Q47">
        <v>10.266666669999999</v>
      </c>
      <c r="R47">
        <v>0.98513340699999996</v>
      </c>
    </row>
    <row r="48" spans="1:18" x14ac:dyDescent="0.2">
      <c r="A48">
        <v>48</v>
      </c>
      <c r="B48">
        <v>101</v>
      </c>
      <c r="C48">
        <v>3</v>
      </c>
      <c r="D48">
        <v>20190318</v>
      </c>
      <c r="E48" t="s">
        <v>17</v>
      </c>
      <c r="F48">
        <v>3096.4176000000002</v>
      </c>
      <c r="G48">
        <v>3027.8011999999999</v>
      </c>
      <c r="H48">
        <v>3096.4176000000002</v>
      </c>
      <c r="I48">
        <v>3009.5070999999998</v>
      </c>
      <c r="J48">
        <v>3021.7512000000002</v>
      </c>
      <c r="K48">
        <v>74.666399999999996</v>
      </c>
      <c r="L48">
        <v>2.4710000000000001</v>
      </c>
      <c r="M48">
        <v>397797179</v>
      </c>
      <c r="N48">
        <v>398469604.80000001</v>
      </c>
      <c r="O48">
        <v>348</v>
      </c>
      <c r="P48">
        <v>22</v>
      </c>
      <c r="Q48">
        <v>15.81818182</v>
      </c>
      <c r="R48">
        <v>0.98390837200000003</v>
      </c>
    </row>
    <row r="49" spans="1:18" x14ac:dyDescent="0.2">
      <c r="A49">
        <v>49</v>
      </c>
      <c r="B49">
        <v>77</v>
      </c>
      <c r="C49">
        <v>1</v>
      </c>
      <c r="D49">
        <v>20190319</v>
      </c>
      <c r="E49" t="s">
        <v>17</v>
      </c>
      <c r="F49">
        <v>3090.9749999999999</v>
      </c>
      <c r="G49">
        <v>3099.8971000000001</v>
      </c>
      <c r="H49">
        <v>3113.4324999999999</v>
      </c>
      <c r="I49">
        <v>3076.3627000000001</v>
      </c>
      <c r="J49">
        <v>3096.4176000000002</v>
      </c>
      <c r="K49">
        <v>-5.4425999999999997</v>
      </c>
      <c r="L49">
        <v>-0.17580000000000001</v>
      </c>
      <c r="M49">
        <v>350908860</v>
      </c>
      <c r="N49">
        <v>353216791.30000001</v>
      </c>
      <c r="O49">
        <v>176</v>
      </c>
      <c r="P49">
        <v>11</v>
      </c>
      <c r="Q49">
        <v>16</v>
      </c>
      <c r="R49">
        <v>0.99596128500000003</v>
      </c>
    </row>
    <row r="50" spans="1:18" x14ac:dyDescent="0.2">
      <c r="A50">
        <v>50</v>
      </c>
      <c r="B50">
        <v>73</v>
      </c>
      <c r="C50">
        <v>0</v>
      </c>
      <c r="D50">
        <v>20190320</v>
      </c>
      <c r="E50" t="s">
        <v>17</v>
      </c>
      <c r="F50">
        <v>3090.6403</v>
      </c>
      <c r="G50">
        <v>3084.1704</v>
      </c>
      <c r="H50">
        <v>3102.5203000000001</v>
      </c>
      <c r="I50">
        <v>3053.4519</v>
      </c>
      <c r="J50">
        <v>3090.9749999999999</v>
      </c>
      <c r="K50">
        <v>-0.3347</v>
      </c>
      <c r="L50">
        <v>-1.0800000000000001E-2</v>
      </c>
      <c r="M50">
        <v>358557505</v>
      </c>
      <c r="N50">
        <v>349295405.5</v>
      </c>
      <c r="O50">
        <v>174</v>
      </c>
      <c r="P50">
        <v>33</v>
      </c>
      <c r="Q50">
        <v>5.2727272730000001</v>
      </c>
      <c r="R50">
        <v>0.99593325799999999</v>
      </c>
    </row>
    <row r="51" spans="1:18" x14ac:dyDescent="0.2">
      <c r="A51">
        <v>51</v>
      </c>
      <c r="B51">
        <v>98</v>
      </c>
      <c r="C51">
        <v>0</v>
      </c>
      <c r="D51">
        <v>20190321</v>
      </c>
      <c r="E51" t="s">
        <v>17</v>
      </c>
      <c r="F51">
        <v>3101.4549999999999</v>
      </c>
      <c r="G51">
        <v>3094.1246999999998</v>
      </c>
      <c r="H51">
        <v>3125.0192000000002</v>
      </c>
      <c r="I51">
        <v>3086.85</v>
      </c>
      <c r="J51">
        <v>3090.6403</v>
      </c>
      <c r="K51">
        <v>10.8147</v>
      </c>
      <c r="L51">
        <v>0.34989999999999999</v>
      </c>
      <c r="M51">
        <v>414251182</v>
      </c>
      <c r="N51">
        <v>403939834.69999999</v>
      </c>
      <c r="O51">
        <v>216</v>
      </c>
      <c r="P51">
        <v>8</v>
      </c>
      <c r="Q51">
        <v>27</v>
      </c>
      <c r="R51">
        <v>0.99960214999999997</v>
      </c>
    </row>
    <row r="52" spans="1:18" x14ac:dyDescent="0.2">
      <c r="A52">
        <v>52</v>
      </c>
      <c r="B52">
        <v>100</v>
      </c>
      <c r="C52">
        <v>1</v>
      </c>
      <c r="D52">
        <v>20190322</v>
      </c>
      <c r="E52" t="s">
        <v>17</v>
      </c>
      <c r="F52">
        <v>3104.1487000000002</v>
      </c>
      <c r="G52">
        <v>3100.7264</v>
      </c>
      <c r="H52">
        <v>3107.2754</v>
      </c>
      <c r="I52">
        <v>3064.884</v>
      </c>
      <c r="J52">
        <v>3101.4549999999999</v>
      </c>
      <c r="K52">
        <v>2.6937000000000002</v>
      </c>
      <c r="L52">
        <v>8.6900000000000005E-2</v>
      </c>
      <c r="M52">
        <v>364848346</v>
      </c>
      <c r="N52">
        <v>356678335</v>
      </c>
      <c r="O52">
        <v>223</v>
      </c>
      <c r="P52">
        <v>25</v>
      </c>
      <c r="Q52">
        <v>8.92</v>
      </c>
      <c r="R52">
        <v>0.99810640399999995</v>
      </c>
    </row>
    <row r="53" spans="1:18" x14ac:dyDescent="0.2">
      <c r="A53">
        <v>53</v>
      </c>
      <c r="B53">
        <v>93</v>
      </c>
      <c r="C53">
        <v>10</v>
      </c>
      <c r="D53">
        <v>20190325</v>
      </c>
      <c r="E53" t="s">
        <v>17</v>
      </c>
      <c r="F53">
        <v>3043.0313000000001</v>
      </c>
      <c r="G53">
        <v>3058.8015999999998</v>
      </c>
      <c r="H53">
        <v>3086.9960999999998</v>
      </c>
      <c r="I53">
        <v>3041.9504000000002</v>
      </c>
      <c r="J53">
        <v>3104.1487000000002</v>
      </c>
      <c r="K53">
        <v>-61.117400000000004</v>
      </c>
      <c r="L53">
        <v>-1.9689000000000001</v>
      </c>
      <c r="M53">
        <v>380278762</v>
      </c>
      <c r="N53">
        <v>375375662.80000001</v>
      </c>
      <c r="O53">
        <v>158</v>
      </c>
      <c r="P53">
        <v>142</v>
      </c>
      <c r="Q53">
        <v>1.112676056</v>
      </c>
      <c r="R53">
        <v>1.01385876</v>
      </c>
    </row>
    <row r="54" spans="1:18" x14ac:dyDescent="0.2">
      <c r="A54">
        <v>54</v>
      </c>
      <c r="B54">
        <v>43</v>
      </c>
      <c r="C54">
        <v>26</v>
      </c>
      <c r="D54">
        <v>20190326</v>
      </c>
      <c r="E54" t="s">
        <v>17</v>
      </c>
      <c r="F54">
        <v>2997.0954000000002</v>
      </c>
      <c r="G54">
        <v>3057.5590000000002</v>
      </c>
      <c r="H54">
        <v>3062.6896000000002</v>
      </c>
      <c r="I54">
        <v>2988.4904999999999</v>
      </c>
      <c r="J54">
        <v>3043.0313000000001</v>
      </c>
      <c r="K54">
        <v>-45.935899999999997</v>
      </c>
      <c r="L54">
        <v>-1.5095000000000001</v>
      </c>
      <c r="M54">
        <v>353498021</v>
      </c>
      <c r="N54">
        <v>341444826.60000002</v>
      </c>
      <c r="O54">
        <v>73</v>
      </c>
      <c r="P54">
        <v>476</v>
      </c>
      <c r="Q54">
        <v>0.15336134500000001</v>
      </c>
      <c r="R54">
        <v>0.94780586499999997</v>
      </c>
    </row>
    <row r="55" spans="1:18" x14ac:dyDescent="0.2">
      <c r="A55">
        <v>55</v>
      </c>
      <c r="B55">
        <v>97</v>
      </c>
      <c r="C55">
        <v>7</v>
      </c>
      <c r="D55">
        <v>20190327</v>
      </c>
      <c r="E55" t="s">
        <v>17</v>
      </c>
      <c r="F55">
        <v>3022.7195999999999</v>
      </c>
      <c r="G55">
        <v>3012.2573000000002</v>
      </c>
      <c r="H55">
        <v>3022.7622999999999</v>
      </c>
      <c r="I55">
        <v>2987.7716999999998</v>
      </c>
      <c r="J55">
        <v>2997.0954000000002</v>
      </c>
      <c r="K55">
        <v>25.624199999999998</v>
      </c>
      <c r="L55">
        <v>0.85499999999999998</v>
      </c>
      <c r="M55">
        <v>291390357</v>
      </c>
      <c r="N55">
        <v>295075954.80000001</v>
      </c>
      <c r="O55">
        <v>293</v>
      </c>
      <c r="P55">
        <v>61</v>
      </c>
      <c r="Q55">
        <v>4.8032786889999999</v>
      </c>
      <c r="R55">
        <v>1.043941768</v>
      </c>
    </row>
    <row r="56" spans="1:18" x14ac:dyDescent="0.2">
      <c r="A56">
        <v>56</v>
      </c>
      <c r="B56">
        <v>53</v>
      </c>
      <c r="C56">
        <v>44</v>
      </c>
      <c r="D56">
        <v>20190328</v>
      </c>
      <c r="E56" t="s">
        <v>17</v>
      </c>
      <c r="F56">
        <v>2994.9434000000001</v>
      </c>
      <c r="G56">
        <v>3009.7988</v>
      </c>
      <c r="H56">
        <v>3025.7788999999998</v>
      </c>
      <c r="I56">
        <v>2991.7788999999998</v>
      </c>
      <c r="J56">
        <v>3022.7195999999999</v>
      </c>
      <c r="K56">
        <v>-27.776199999999999</v>
      </c>
      <c r="L56">
        <v>-0.91890000000000005</v>
      </c>
      <c r="M56">
        <v>288106425</v>
      </c>
      <c r="N56">
        <v>289554565.5</v>
      </c>
      <c r="O56">
        <v>95</v>
      </c>
      <c r="P56">
        <v>244</v>
      </c>
      <c r="Q56">
        <v>0.389344262</v>
      </c>
      <c r="R56">
        <v>0.973572031</v>
      </c>
    </row>
    <row r="57" spans="1:18" x14ac:dyDescent="0.2">
      <c r="A57">
        <v>57</v>
      </c>
      <c r="B57">
        <v>83</v>
      </c>
      <c r="C57">
        <v>2</v>
      </c>
      <c r="D57">
        <v>20190329</v>
      </c>
      <c r="E57" t="s">
        <v>17</v>
      </c>
      <c r="F57">
        <v>3090.7579999999998</v>
      </c>
      <c r="G57">
        <v>3000.6783</v>
      </c>
      <c r="H57">
        <v>3093.0329000000002</v>
      </c>
      <c r="I57">
        <v>2999.9866000000002</v>
      </c>
      <c r="J57">
        <v>2994.9434000000001</v>
      </c>
      <c r="K57">
        <v>95.814599999999999</v>
      </c>
      <c r="L57">
        <v>3.1991999999999998</v>
      </c>
      <c r="M57">
        <v>375082991</v>
      </c>
      <c r="N57">
        <v>386699608.69999999</v>
      </c>
      <c r="O57">
        <v>407</v>
      </c>
      <c r="P57">
        <v>36</v>
      </c>
      <c r="Q57">
        <v>11.30555556</v>
      </c>
      <c r="R57">
        <v>1.0366757900000001</v>
      </c>
    </row>
    <row r="58" spans="1:18" x14ac:dyDescent="0.2">
      <c r="A58">
        <v>58</v>
      </c>
      <c r="B58">
        <v>175</v>
      </c>
      <c r="C58">
        <v>1</v>
      </c>
      <c r="D58">
        <v>20190401</v>
      </c>
      <c r="E58" t="s">
        <v>17</v>
      </c>
      <c r="F58">
        <v>3170.3609999999999</v>
      </c>
      <c r="G58">
        <v>3111.6619000000001</v>
      </c>
      <c r="H58">
        <v>3176.6221</v>
      </c>
      <c r="I58">
        <v>3111.6619000000001</v>
      </c>
      <c r="J58">
        <v>3090.7579999999998</v>
      </c>
      <c r="K58">
        <v>79.602999999999994</v>
      </c>
      <c r="L58">
        <v>2.5754999999999999</v>
      </c>
      <c r="M58">
        <v>466124693</v>
      </c>
      <c r="N58">
        <v>480085938.39999998</v>
      </c>
      <c r="O58">
        <v>600</v>
      </c>
      <c r="P58">
        <v>2</v>
      </c>
      <c r="Q58">
        <v>300</v>
      </c>
      <c r="R58">
        <v>1.0207198500000001</v>
      </c>
    </row>
    <row r="59" spans="1:18" x14ac:dyDescent="0.2">
      <c r="A59">
        <v>59</v>
      </c>
      <c r="B59">
        <v>102</v>
      </c>
      <c r="C59">
        <v>3</v>
      </c>
      <c r="D59">
        <v>20190402</v>
      </c>
      <c r="E59" t="s">
        <v>17</v>
      </c>
      <c r="F59">
        <v>3176.8227000000002</v>
      </c>
      <c r="G59">
        <v>3183.2736</v>
      </c>
      <c r="H59">
        <v>3193.2716999999998</v>
      </c>
      <c r="I59">
        <v>3164.9065999999998</v>
      </c>
      <c r="J59">
        <v>3170.3609999999999</v>
      </c>
      <c r="K59">
        <v>6.4617000000000004</v>
      </c>
      <c r="L59">
        <v>0.20380000000000001</v>
      </c>
      <c r="M59">
        <v>447068981</v>
      </c>
      <c r="N59">
        <v>462662081.80000001</v>
      </c>
      <c r="O59">
        <v>232</v>
      </c>
      <c r="P59">
        <v>12</v>
      </c>
      <c r="Q59">
        <v>19.333333329999999</v>
      </c>
      <c r="R59">
        <v>0.99631056900000003</v>
      </c>
    </row>
    <row r="60" spans="1:18" x14ac:dyDescent="0.2">
      <c r="A60">
        <v>60</v>
      </c>
      <c r="B60">
        <v>113</v>
      </c>
      <c r="C60">
        <v>3</v>
      </c>
      <c r="D60">
        <v>20190403</v>
      </c>
      <c r="E60" t="s">
        <v>17</v>
      </c>
      <c r="F60">
        <v>3216.2952</v>
      </c>
      <c r="G60">
        <v>3159.1468</v>
      </c>
      <c r="H60">
        <v>3219.2564000000002</v>
      </c>
      <c r="I60">
        <v>3152.3319000000001</v>
      </c>
      <c r="J60">
        <v>3176.8227000000002</v>
      </c>
      <c r="K60">
        <v>39.472499999999997</v>
      </c>
      <c r="L60">
        <v>1.2424999999999999</v>
      </c>
      <c r="M60">
        <v>430548635</v>
      </c>
      <c r="N60">
        <v>442622041</v>
      </c>
      <c r="O60">
        <v>255</v>
      </c>
      <c r="P60">
        <v>32</v>
      </c>
      <c r="Q60">
        <v>7.96875</v>
      </c>
      <c r="R60">
        <v>1.0083995969999999</v>
      </c>
    </row>
    <row r="61" spans="1:18" x14ac:dyDescent="0.2">
      <c r="A61">
        <v>61</v>
      </c>
      <c r="B61">
        <v>91</v>
      </c>
      <c r="C61">
        <v>3</v>
      </c>
      <c r="D61">
        <v>20190404</v>
      </c>
      <c r="E61" t="s">
        <v>17</v>
      </c>
      <c r="F61">
        <v>3246.5713999999998</v>
      </c>
      <c r="G61">
        <v>3233.6886</v>
      </c>
      <c r="H61">
        <v>3254.1401000000001</v>
      </c>
      <c r="I61">
        <v>3216.8544999999999</v>
      </c>
      <c r="J61">
        <v>3216.2952</v>
      </c>
      <c r="K61">
        <v>30.276199999999999</v>
      </c>
      <c r="L61">
        <v>0.94130000000000003</v>
      </c>
      <c r="M61">
        <v>469117669</v>
      </c>
      <c r="N61">
        <v>475156382.10000002</v>
      </c>
      <c r="O61">
        <v>226</v>
      </c>
      <c r="P61">
        <v>19</v>
      </c>
      <c r="Q61">
        <v>11.89473684</v>
      </c>
      <c r="R61">
        <v>0.98372765900000003</v>
      </c>
    </row>
    <row r="62" spans="1:18" x14ac:dyDescent="0.2">
      <c r="A62">
        <v>62</v>
      </c>
      <c r="B62">
        <v>123</v>
      </c>
      <c r="C62">
        <v>8</v>
      </c>
      <c r="D62">
        <v>20190408</v>
      </c>
      <c r="E62" t="s">
        <v>17</v>
      </c>
      <c r="F62">
        <v>3244.8103000000001</v>
      </c>
      <c r="G62">
        <v>3271.2721999999999</v>
      </c>
      <c r="H62">
        <v>3288.4531000000002</v>
      </c>
      <c r="I62">
        <v>3210.5151000000001</v>
      </c>
      <c r="J62">
        <v>3246.5713999999998</v>
      </c>
      <c r="K62">
        <v>-1.7611000000000001</v>
      </c>
      <c r="L62">
        <v>-5.4199999999999998E-2</v>
      </c>
      <c r="M62">
        <v>504518403</v>
      </c>
      <c r="N62">
        <v>506431236.80000001</v>
      </c>
      <c r="O62">
        <v>281</v>
      </c>
      <c r="P62">
        <v>123</v>
      </c>
      <c r="Q62">
        <v>2.284552846</v>
      </c>
      <c r="R62">
        <v>0.99373387999999996</v>
      </c>
    </row>
    <row r="63" spans="1:18" x14ac:dyDescent="0.2">
      <c r="A63">
        <v>63</v>
      </c>
      <c r="B63">
        <v>92</v>
      </c>
      <c r="C63">
        <v>7</v>
      </c>
      <c r="D63">
        <v>20190409</v>
      </c>
      <c r="E63" t="s">
        <v>17</v>
      </c>
      <c r="F63">
        <v>3239.6639</v>
      </c>
      <c r="G63">
        <v>3240.3937999999998</v>
      </c>
      <c r="H63">
        <v>3251.6457999999998</v>
      </c>
      <c r="I63">
        <v>3215.7048</v>
      </c>
      <c r="J63">
        <v>3244.8103000000001</v>
      </c>
      <c r="K63">
        <v>-5.1463999999999999</v>
      </c>
      <c r="L63">
        <v>-0.15859999999999999</v>
      </c>
      <c r="M63">
        <v>364169997</v>
      </c>
      <c r="N63">
        <v>380272975.89999998</v>
      </c>
      <c r="O63">
        <v>215</v>
      </c>
      <c r="P63">
        <v>111</v>
      </c>
      <c r="Q63">
        <v>1.936936937</v>
      </c>
      <c r="R63">
        <v>0.98917823599999999</v>
      </c>
    </row>
    <row r="64" spans="1:18" x14ac:dyDescent="0.2">
      <c r="A64">
        <v>64</v>
      </c>
      <c r="B64">
        <v>91</v>
      </c>
      <c r="C64">
        <v>8</v>
      </c>
      <c r="D64">
        <v>20190410</v>
      </c>
      <c r="E64" t="s">
        <v>17</v>
      </c>
      <c r="F64">
        <v>3241.9299000000001</v>
      </c>
      <c r="G64">
        <v>3224.6453999999999</v>
      </c>
      <c r="H64">
        <v>3264.7777999999998</v>
      </c>
      <c r="I64">
        <v>3204.8784999999998</v>
      </c>
      <c r="J64">
        <v>3239.6639</v>
      </c>
      <c r="K64">
        <v>2.266</v>
      </c>
      <c r="L64">
        <v>6.9900000000000004E-2</v>
      </c>
      <c r="M64">
        <v>380134408</v>
      </c>
      <c r="N64">
        <v>395669974.89999998</v>
      </c>
      <c r="O64">
        <v>190</v>
      </c>
      <c r="P64">
        <v>86</v>
      </c>
      <c r="Q64">
        <v>2.209302326</v>
      </c>
      <c r="R64">
        <v>0.99869555099999996</v>
      </c>
    </row>
    <row r="65" spans="1:18" x14ac:dyDescent="0.2">
      <c r="A65">
        <v>65</v>
      </c>
      <c r="B65">
        <v>65</v>
      </c>
      <c r="C65">
        <v>12</v>
      </c>
      <c r="D65">
        <v>20190411</v>
      </c>
      <c r="E65" t="s">
        <v>17</v>
      </c>
      <c r="F65">
        <v>3189.9618999999998</v>
      </c>
      <c r="G65">
        <v>3241.5473999999999</v>
      </c>
      <c r="H65">
        <v>3254.1259</v>
      </c>
      <c r="I65">
        <v>3185.5459999999998</v>
      </c>
      <c r="J65">
        <v>3241.9299000000001</v>
      </c>
      <c r="K65">
        <v>-51.968000000000004</v>
      </c>
      <c r="L65">
        <v>-1.603</v>
      </c>
      <c r="M65">
        <v>353031879</v>
      </c>
      <c r="N65">
        <v>360684555.89999998</v>
      </c>
      <c r="O65">
        <v>101</v>
      </c>
      <c r="P65">
        <v>259</v>
      </c>
      <c r="Q65">
        <v>0.38996139000000002</v>
      </c>
      <c r="R65">
        <v>0.97352692500000004</v>
      </c>
    </row>
    <row r="66" spans="1:18" x14ac:dyDescent="0.2">
      <c r="A66">
        <v>66</v>
      </c>
      <c r="B66">
        <v>51</v>
      </c>
      <c r="C66">
        <v>25</v>
      </c>
      <c r="D66">
        <v>20190412</v>
      </c>
      <c r="E66" t="s">
        <v>17</v>
      </c>
      <c r="F66">
        <v>3188.6255999999998</v>
      </c>
      <c r="G66">
        <v>3184.8595</v>
      </c>
      <c r="H66">
        <v>3199.2779999999998</v>
      </c>
      <c r="I66">
        <v>3168.0421000000001</v>
      </c>
      <c r="J66">
        <v>3189.9618999999998</v>
      </c>
      <c r="K66">
        <v>-1.3363</v>
      </c>
      <c r="L66">
        <v>-4.19E-2</v>
      </c>
      <c r="M66">
        <v>289788996</v>
      </c>
      <c r="N66">
        <v>288908971.19999999</v>
      </c>
      <c r="O66">
        <v>143</v>
      </c>
      <c r="P66">
        <v>135</v>
      </c>
      <c r="Q66">
        <v>1.0592592590000001</v>
      </c>
      <c r="R66">
        <v>0.97538840999999998</v>
      </c>
    </row>
    <row r="67" spans="1:18" x14ac:dyDescent="0.2">
      <c r="A67">
        <v>67</v>
      </c>
      <c r="B67">
        <v>42</v>
      </c>
      <c r="C67">
        <v>9</v>
      </c>
      <c r="D67">
        <v>20190415</v>
      </c>
      <c r="E67" t="s">
        <v>17</v>
      </c>
      <c r="F67">
        <v>3177.7865999999999</v>
      </c>
      <c r="G67">
        <v>3233.4582999999998</v>
      </c>
      <c r="H67">
        <v>3253.9762999999998</v>
      </c>
      <c r="I67">
        <v>3177.2698</v>
      </c>
      <c r="J67">
        <v>3188.6255999999998</v>
      </c>
      <c r="K67">
        <v>-10.839</v>
      </c>
      <c r="L67">
        <v>-0.33989999999999998</v>
      </c>
      <c r="M67">
        <v>348809785</v>
      </c>
      <c r="N67">
        <v>355666127.69999999</v>
      </c>
      <c r="O67">
        <v>89</v>
      </c>
      <c r="P67">
        <v>95</v>
      </c>
      <c r="Q67">
        <v>0.93684210499999998</v>
      </c>
      <c r="R67">
        <v>0.96740786099999998</v>
      </c>
    </row>
    <row r="68" spans="1:18" x14ac:dyDescent="0.2">
      <c r="A68">
        <v>68</v>
      </c>
      <c r="B68">
        <v>92</v>
      </c>
      <c r="C68">
        <v>4</v>
      </c>
      <c r="D68">
        <v>20190416</v>
      </c>
      <c r="E68" t="s">
        <v>17</v>
      </c>
      <c r="F68">
        <v>3253.5978</v>
      </c>
      <c r="G68">
        <v>3164.3969000000002</v>
      </c>
      <c r="H68">
        <v>3253.5978</v>
      </c>
      <c r="I68">
        <v>3153.2062000000001</v>
      </c>
      <c r="J68">
        <v>3177.7865999999999</v>
      </c>
      <c r="K68">
        <v>75.811199999999999</v>
      </c>
      <c r="L68">
        <v>2.3856999999999999</v>
      </c>
      <c r="M68">
        <v>357918752</v>
      </c>
      <c r="N68">
        <v>360166633.60000002</v>
      </c>
      <c r="O68">
        <v>300</v>
      </c>
      <c r="P68">
        <v>11</v>
      </c>
      <c r="Q68">
        <v>27.272727270000001</v>
      </c>
      <c r="R68">
        <v>1.047469003</v>
      </c>
    </row>
    <row r="69" spans="1:18" x14ac:dyDescent="0.2">
      <c r="A69">
        <v>69</v>
      </c>
      <c r="B69">
        <v>101</v>
      </c>
      <c r="C69">
        <v>1</v>
      </c>
      <c r="D69">
        <v>20190417</v>
      </c>
      <c r="E69" t="s">
        <v>17</v>
      </c>
      <c r="F69">
        <v>3263.1179000000002</v>
      </c>
      <c r="G69">
        <v>3250.1518000000001</v>
      </c>
      <c r="H69">
        <v>3275.3335000000002</v>
      </c>
      <c r="I69">
        <v>3239.8047999999999</v>
      </c>
      <c r="J69">
        <v>3253.5978</v>
      </c>
      <c r="K69">
        <v>9.5200999999999993</v>
      </c>
      <c r="L69">
        <v>0.29260000000000003</v>
      </c>
      <c r="M69">
        <v>357541796</v>
      </c>
      <c r="N69">
        <v>354509888.10000002</v>
      </c>
      <c r="O69">
        <v>244</v>
      </c>
      <c r="P69">
        <v>6</v>
      </c>
      <c r="Q69">
        <v>40.666666669999998</v>
      </c>
      <c r="R69">
        <v>0.99964113700000001</v>
      </c>
    </row>
    <row r="70" spans="1:18" x14ac:dyDescent="0.2">
      <c r="A70">
        <v>70</v>
      </c>
      <c r="B70">
        <v>61</v>
      </c>
      <c r="C70">
        <v>5</v>
      </c>
      <c r="D70">
        <v>20190418</v>
      </c>
      <c r="E70" t="s">
        <v>17</v>
      </c>
      <c r="F70">
        <v>3250.2012</v>
      </c>
      <c r="G70">
        <v>3261.0742</v>
      </c>
      <c r="H70">
        <v>3271.3878</v>
      </c>
      <c r="I70">
        <v>3241.8256999999999</v>
      </c>
      <c r="J70">
        <v>3263.1179000000002</v>
      </c>
      <c r="K70">
        <v>-12.916700000000001</v>
      </c>
      <c r="L70">
        <v>-0.39579999999999999</v>
      </c>
      <c r="M70">
        <v>325539942</v>
      </c>
      <c r="N70">
        <v>323508178.60000002</v>
      </c>
      <c r="O70">
        <v>131</v>
      </c>
      <c r="P70">
        <v>71</v>
      </c>
      <c r="Q70">
        <v>1.8450704229999999</v>
      </c>
      <c r="R70">
        <v>0.98494141700000004</v>
      </c>
    </row>
    <row r="71" spans="1:18" x14ac:dyDescent="0.2">
      <c r="A71">
        <v>71</v>
      </c>
      <c r="B71">
        <v>73</v>
      </c>
      <c r="C71">
        <v>1</v>
      </c>
      <c r="D71">
        <v>20190419</v>
      </c>
      <c r="E71" t="s">
        <v>17</v>
      </c>
      <c r="F71">
        <v>3270.7973000000002</v>
      </c>
      <c r="G71">
        <v>3250.1451999999999</v>
      </c>
      <c r="H71">
        <v>3274.3346999999999</v>
      </c>
      <c r="I71">
        <v>3226.8123999999998</v>
      </c>
      <c r="J71">
        <v>3250.2012</v>
      </c>
      <c r="K71">
        <v>20.5961</v>
      </c>
      <c r="L71">
        <v>0.63370000000000004</v>
      </c>
      <c r="M71">
        <v>315198004</v>
      </c>
      <c r="N71">
        <v>315131920.19999999</v>
      </c>
      <c r="O71">
        <v>175</v>
      </c>
      <c r="P71">
        <v>24</v>
      </c>
      <c r="Q71">
        <v>7.2916666670000003</v>
      </c>
      <c r="R71">
        <v>1.017143216</v>
      </c>
    </row>
    <row r="72" spans="1:18" x14ac:dyDescent="0.2">
      <c r="A72">
        <v>72</v>
      </c>
      <c r="B72">
        <v>54</v>
      </c>
      <c r="C72">
        <v>11</v>
      </c>
      <c r="D72">
        <v>20190422</v>
      </c>
      <c r="E72" t="s">
        <v>17</v>
      </c>
      <c r="F72">
        <v>3215.0426000000002</v>
      </c>
      <c r="G72">
        <v>3278.4906000000001</v>
      </c>
      <c r="H72">
        <v>3279.4893999999999</v>
      </c>
      <c r="I72">
        <v>3206.8780000000002</v>
      </c>
      <c r="J72">
        <v>3270.7973000000002</v>
      </c>
      <c r="K72">
        <v>-55.7547</v>
      </c>
      <c r="L72">
        <v>-1.7045999999999999</v>
      </c>
      <c r="M72">
        <v>353217387</v>
      </c>
      <c r="N72">
        <v>359154297.10000002</v>
      </c>
      <c r="O72">
        <v>104</v>
      </c>
      <c r="P72">
        <v>150</v>
      </c>
      <c r="Q72">
        <v>0.693333333</v>
      </c>
      <c r="R72">
        <v>0.97352286399999999</v>
      </c>
    </row>
    <row r="73" spans="1:18" x14ac:dyDescent="0.2">
      <c r="A73">
        <v>73</v>
      </c>
      <c r="B73">
        <v>42</v>
      </c>
      <c r="C73">
        <v>50</v>
      </c>
      <c r="D73">
        <v>20190423</v>
      </c>
      <c r="E73" t="s">
        <v>17</v>
      </c>
      <c r="F73">
        <v>3198.5938000000001</v>
      </c>
      <c r="G73">
        <v>3211.8719000000001</v>
      </c>
      <c r="H73">
        <v>3231.5814999999998</v>
      </c>
      <c r="I73">
        <v>3186.7568999999999</v>
      </c>
      <c r="J73">
        <v>3215.0426000000002</v>
      </c>
      <c r="K73">
        <v>-16.448799999999999</v>
      </c>
      <c r="L73">
        <v>-0.51160000000000005</v>
      </c>
      <c r="M73">
        <v>328361207</v>
      </c>
      <c r="N73">
        <v>324870183.39999998</v>
      </c>
      <c r="O73">
        <v>87</v>
      </c>
      <c r="P73">
        <v>326</v>
      </c>
      <c r="Q73">
        <v>0.26687116599999999</v>
      </c>
      <c r="R73">
        <v>0.98873058899999999</v>
      </c>
    </row>
    <row r="74" spans="1:18" x14ac:dyDescent="0.2">
      <c r="A74">
        <v>74</v>
      </c>
      <c r="B74">
        <v>69</v>
      </c>
      <c r="C74">
        <v>6</v>
      </c>
      <c r="D74">
        <v>20190424</v>
      </c>
      <c r="E74" t="s">
        <v>17</v>
      </c>
      <c r="F74">
        <v>3201.6136999999999</v>
      </c>
      <c r="G74">
        <v>3203.5587999999998</v>
      </c>
      <c r="H74">
        <v>3210.6507999999999</v>
      </c>
      <c r="I74">
        <v>3156.607</v>
      </c>
      <c r="J74">
        <v>3198.5938000000001</v>
      </c>
      <c r="K74">
        <v>3.0198999999999998</v>
      </c>
      <c r="L74">
        <v>9.4399999999999998E-2</v>
      </c>
      <c r="M74">
        <v>274872164</v>
      </c>
      <c r="N74">
        <v>278410852.5</v>
      </c>
      <c r="O74">
        <v>189</v>
      </c>
      <c r="P74">
        <v>58</v>
      </c>
      <c r="Q74">
        <v>3.2586206899999999</v>
      </c>
      <c r="R74">
        <v>0.99237912699999997</v>
      </c>
    </row>
    <row r="75" spans="1:18" x14ac:dyDescent="0.2">
      <c r="A75">
        <v>75</v>
      </c>
      <c r="B75">
        <v>25</v>
      </c>
      <c r="C75">
        <v>74</v>
      </c>
      <c r="D75">
        <v>20190425</v>
      </c>
      <c r="E75" t="s">
        <v>17</v>
      </c>
      <c r="F75">
        <v>3123.8261000000002</v>
      </c>
      <c r="G75">
        <v>3190.5850999999998</v>
      </c>
      <c r="H75">
        <v>3193.7494000000002</v>
      </c>
      <c r="I75">
        <v>3123.0257999999999</v>
      </c>
      <c r="J75">
        <v>3201.6136999999999</v>
      </c>
      <c r="K75">
        <v>-77.787599999999998</v>
      </c>
      <c r="L75">
        <v>-2.4296000000000002</v>
      </c>
      <c r="M75">
        <v>325879129</v>
      </c>
      <c r="N75">
        <v>309076083.69999999</v>
      </c>
      <c r="O75">
        <v>35</v>
      </c>
      <c r="P75">
        <v>1232</v>
      </c>
      <c r="Q75">
        <v>2.8409091000000001E-2</v>
      </c>
      <c r="R75">
        <v>0.96123734900000002</v>
      </c>
    </row>
    <row r="76" spans="1:18" x14ac:dyDescent="0.2">
      <c r="A76">
        <v>76</v>
      </c>
      <c r="B76">
        <v>51</v>
      </c>
      <c r="C76">
        <v>54</v>
      </c>
      <c r="D76">
        <v>20190426</v>
      </c>
      <c r="E76" t="s">
        <v>17</v>
      </c>
      <c r="F76">
        <v>3086.3989000000001</v>
      </c>
      <c r="G76">
        <v>3108.1635000000001</v>
      </c>
      <c r="H76">
        <v>3129.2134000000001</v>
      </c>
      <c r="I76">
        <v>3085.8049000000001</v>
      </c>
      <c r="J76">
        <v>3123.8261000000002</v>
      </c>
      <c r="K76">
        <v>-37.427199999999999</v>
      </c>
      <c r="L76">
        <v>-1.1980999999999999</v>
      </c>
      <c r="M76">
        <v>280873854</v>
      </c>
      <c r="N76">
        <v>274776402.30000001</v>
      </c>
      <c r="O76">
        <v>106</v>
      </c>
      <c r="P76">
        <v>310</v>
      </c>
      <c r="Q76">
        <v>0.34193548400000001</v>
      </c>
      <c r="R76">
        <v>0.99465804499999999</v>
      </c>
    </row>
    <row r="77" spans="1:18" x14ac:dyDescent="0.2">
      <c r="A77">
        <v>77</v>
      </c>
      <c r="B77">
        <v>27</v>
      </c>
      <c r="C77">
        <v>275</v>
      </c>
      <c r="D77">
        <v>20190429</v>
      </c>
      <c r="E77" t="s">
        <v>17</v>
      </c>
      <c r="F77">
        <v>3062.4985000000001</v>
      </c>
      <c r="G77">
        <v>3090.6331</v>
      </c>
      <c r="H77">
        <v>3107.7604999999999</v>
      </c>
      <c r="I77">
        <v>3050.0261</v>
      </c>
      <c r="J77">
        <v>3086.3989000000001</v>
      </c>
      <c r="K77">
        <v>-23.900400000000001</v>
      </c>
      <c r="L77">
        <v>-0.77439999999999998</v>
      </c>
      <c r="M77">
        <v>292114886</v>
      </c>
      <c r="N77">
        <v>289063278.89999998</v>
      </c>
      <c r="O77">
        <v>60</v>
      </c>
      <c r="P77">
        <v>1233</v>
      </c>
      <c r="Q77">
        <v>4.8661799999999998E-2</v>
      </c>
      <c r="R77">
        <v>0.94157647700000002</v>
      </c>
    </row>
    <row r="78" spans="1:18" x14ac:dyDescent="0.2">
      <c r="A78">
        <v>78</v>
      </c>
      <c r="B78">
        <v>59</v>
      </c>
      <c r="C78">
        <v>55</v>
      </c>
      <c r="D78">
        <v>20190430</v>
      </c>
      <c r="E78" t="s">
        <v>17</v>
      </c>
      <c r="F78">
        <v>3078.3389000000002</v>
      </c>
      <c r="G78">
        <v>3052.6223</v>
      </c>
      <c r="H78">
        <v>3088.4074000000001</v>
      </c>
      <c r="I78">
        <v>3052.6223</v>
      </c>
      <c r="J78">
        <v>3062.4985000000001</v>
      </c>
      <c r="K78">
        <v>15.840400000000001</v>
      </c>
      <c r="L78">
        <v>0.51719999999999999</v>
      </c>
      <c r="M78">
        <v>222302517</v>
      </c>
      <c r="N78">
        <v>225498129.19999999</v>
      </c>
      <c r="O78">
        <v>233</v>
      </c>
      <c r="P78">
        <v>158</v>
      </c>
      <c r="Q78">
        <v>1.4746835439999999</v>
      </c>
      <c r="R78">
        <v>0.98531962799999995</v>
      </c>
    </row>
    <row r="79" spans="1:18" x14ac:dyDescent="0.2">
      <c r="A79">
        <v>79</v>
      </c>
      <c r="B79">
        <v>24</v>
      </c>
      <c r="C79">
        <v>1048</v>
      </c>
      <c r="D79">
        <v>20190506</v>
      </c>
      <c r="E79" t="s">
        <v>17</v>
      </c>
      <c r="F79">
        <v>2906.4639999999999</v>
      </c>
      <c r="G79">
        <v>2984.7273</v>
      </c>
      <c r="H79">
        <v>2986.5399000000002</v>
      </c>
      <c r="I79">
        <v>2876.4688000000001</v>
      </c>
      <c r="J79">
        <v>3078.3389000000002</v>
      </c>
      <c r="K79">
        <v>-171.8749</v>
      </c>
      <c r="L79">
        <v>-5.5834000000000001</v>
      </c>
      <c r="M79">
        <v>326972269</v>
      </c>
      <c r="N79">
        <v>314336519.39999998</v>
      </c>
      <c r="O79">
        <v>37</v>
      </c>
      <c r="P79">
        <v>2898</v>
      </c>
      <c r="Q79">
        <v>1.2767426E-2</v>
      </c>
      <c r="R79">
        <v>0.99123669599999997</v>
      </c>
    </row>
    <row r="80" spans="1:18" x14ac:dyDescent="0.2">
      <c r="A80">
        <v>80</v>
      </c>
      <c r="B80">
        <v>100</v>
      </c>
      <c r="C80">
        <v>16</v>
      </c>
      <c r="D80">
        <v>20190507</v>
      </c>
      <c r="E80" t="s">
        <v>17</v>
      </c>
      <c r="F80">
        <v>2926.3908000000001</v>
      </c>
      <c r="G80">
        <v>2914.2914000000001</v>
      </c>
      <c r="H80">
        <v>2937.2831999999999</v>
      </c>
      <c r="I80">
        <v>2889.0731999999998</v>
      </c>
      <c r="J80">
        <v>2906.4639999999999</v>
      </c>
      <c r="K80">
        <v>19.9268</v>
      </c>
      <c r="L80">
        <v>0.68559999999999999</v>
      </c>
      <c r="M80">
        <v>253281769</v>
      </c>
      <c r="N80">
        <v>245444215.19999999</v>
      </c>
      <c r="O80">
        <v>328</v>
      </c>
      <c r="P80">
        <v>80</v>
      </c>
      <c r="Q80">
        <v>4.0999999999999996</v>
      </c>
      <c r="R80">
        <v>1.0424845540000001</v>
      </c>
    </row>
    <row r="81" spans="1:18" x14ac:dyDescent="0.2">
      <c r="A81">
        <v>81</v>
      </c>
      <c r="B81">
        <v>65</v>
      </c>
      <c r="C81">
        <v>26</v>
      </c>
      <c r="D81">
        <v>20190508</v>
      </c>
      <c r="E81" t="s">
        <v>17</v>
      </c>
      <c r="F81">
        <v>2893.7566999999999</v>
      </c>
      <c r="G81">
        <v>2873.1433000000002</v>
      </c>
      <c r="H81">
        <v>2929.4306000000001</v>
      </c>
      <c r="I81">
        <v>2866.7040999999999</v>
      </c>
      <c r="J81">
        <v>2926.3908000000001</v>
      </c>
      <c r="K81">
        <v>-32.634099999999997</v>
      </c>
      <c r="L81">
        <v>-1.1152</v>
      </c>
      <c r="M81">
        <v>231530519</v>
      </c>
      <c r="N81">
        <v>218892618.30000001</v>
      </c>
      <c r="O81">
        <v>133</v>
      </c>
      <c r="P81">
        <v>96</v>
      </c>
      <c r="Q81">
        <v>1.3854166670000001</v>
      </c>
      <c r="R81">
        <v>1.0220732400000001</v>
      </c>
    </row>
    <row r="82" spans="1:18" x14ac:dyDescent="0.2">
      <c r="A82">
        <v>82</v>
      </c>
      <c r="B82">
        <v>40</v>
      </c>
      <c r="C82">
        <v>30</v>
      </c>
      <c r="D82">
        <v>20190509</v>
      </c>
      <c r="E82" t="s">
        <v>17</v>
      </c>
      <c r="F82">
        <v>2850.9537</v>
      </c>
      <c r="G82">
        <v>2871.1968000000002</v>
      </c>
      <c r="H82">
        <v>2888.8595999999998</v>
      </c>
      <c r="I82">
        <v>2845.0374000000002</v>
      </c>
      <c r="J82">
        <v>2893.7566999999999</v>
      </c>
      <c r="K82">
        <v>-42.802999999999997</v>
      </c>
      <c r="L82">
        <v>-1.4791000000000001</v>
      </c>
      <c r="M82">
        <v>200041133</v>
      </c>
      <c r="N82">
        <v>197446880.69999999</v>
      </c>
      <c r="O82">
        <v>74</v>
      </c>
      <c r="P82">
        <v>152</v>
      </c>
      <c r="Q82">
        <v>0.48684210500000002</v>
      </c>
      <c r="R82">
        <v>0.97965146800000003</v>
      </c>
    </row>
    <row r="83" spans="1:18" x14ac:dyDescent="0.2">
      <c r="A83">
        <v>83</v>
      </c>
      <c r="B83">
        <v>121</v>
      </c>
      <c r="C83">
        <v>5</v>
      </c>
      <c r="D83">
        <v>20190510</v>
      </c>
      <c r="E83" t="s">
        <v>17</v>
      </c>
      <c r="F83">
        <v>2939.2105999999999</v>
      </c>
      <c r="G83">
        <v>2878.2343999999998</v>
      </c>
      <c r="H83">
        <v>2941.4539</v>
      </c>
      <c r="I83">
        <v>2838.3847000000001</v>
      </c>
      <c r="J83">
        <v>2850.9537</v>
      </c>
      <c r="K83">
        <v>88.256900000000002</v>
      </c>
      <c r="L83">
        <v>3.0956999999999999</v>
      </c>
      <c r="M83">
        <v>282306808</v>
      </c>
      <c r="N83">
        <v>274176262</v>
      </c>
      <c r="O83">
        <v>573</v>
      </c>
      <c r="P83">
        <v>7</v>
      </c>
      <c r="Q83">
        <v>81.857142859999996</v>
      </c>
      <c r="R83">
        <v>1.0272491429999999</v>
      </c>
    </row>
    <row r="84" spans="1:18" x14ac:dyDescent="0.2">
      <c r="A84">
        <v>84</v>
      </c>
      <c r="B84">
        <v>59</v>
      </c>
      <c r="C84">
        <v>11</v>
      </c>
      <c r="D84">
        <v>20190513</v>
      </c>
      <c r="E84" t="s">
        <v>17</v>
      </c>
      <c r="F84">
        <v>2903.7130999999999</v>
      </c>
      <c r="G84">
        <v>2905.067</v>
      </c>
      <c r="H84">
        <v>2921.4103</v>
      </c>
      <c r="I84">
        <v>2892.1745000000001</v>
      </c>
      <c r="J84">
        <v>2939.2105999999999</v>
      </c>
      <c r="K84">
        <v>-35.497500000000002</v>
      </c>
      <c r="L84">
        <v>-1.2077</v>
      </c>
      <c r="M84">
        <v>212029882</v>
      </c>
      <c r="N84">
        <v>202624125</v>
      </c>
      <c r="O84">
        <v>132</v>
      </c>
      <c r="P84">
        <v>83</v>
      </c>
      <c r="Q84">
        <v>1.590361446</v>
      </c>
      <c r="R84">
        <v>1.0091755760000001</v>
      </c>
    </row>
    <row r="85" spans="1:18" x14ac:dyDescent="0.2">
      <c r="A85">
        <v>85</v>
      </c>
      <c r="B85">
        <v>53</v>
      </c>
      <c r="C85">
        <v>11</v>
      </c>
      <c r="D85">
        <v>20190514</v>
      </c>
      <c r="E85" t="s">
        <v>17</v>
      </c>
      <c r="F85">
        <v>2883.6107000000002</v>
      </c>
      <c r="G85">
        <v>2872.8335999999999</v>
      </c>
      <c r="H85">
        <v>2909.2040999999999</v>
      </c>
      <c r="I85">
        <v>2872.8335999999999</v>
      </c>
      <c r="J85">
        <v>2903.7130999999999</v>
      </c>
      <c r="K85">
        <v>-20.102399999999999</v>
      </c>
      <c r="L85">
        <v>-0.69230000000000003</v>
      </c>
      <c r="M85">
        <v>208345353</v>
      </c>
      <c r="N85">
        <v>201223315.40000001</v>
      </c>
      <c r="O85">
        <v>91</v>
      </c>
      <c r="P85">
        <v>47</v>
      </c>
      <c r="Q85">
        <v>1.936170213</v>
      </c>
      <c r="R85">
        <v>1.000727047</v>
      </c>
    </row>
    <row r="86" spans="1:18" x14ac:dyDescent="0.2">
      <c r="A86">
        <v>86</v>
      </c>
      <c r="B86">
        <v>101</v>
      </c>
      <c r="C86">
        <v>2</v>
      </c>
      <c r="D86">
        <v>20190515</v>
      </c>
      <c r="E86" t="s">
        <v>17</v>
      </c>
      <c r="F86">
        <v>2938.6781000000001</v>
      </c>
      <c r="G86">
        <v>2902.6423</v>
      </c>
      <c r="H86">
        <v>2945.3946000000001</v>
      </c>
      <c r="I86">
        <v>2902.6423</v>
      </c>
      <c r="J86">
        <v>2883.6107000000002</v>
      </c>
      <c r="K86">
        <v>55.067399999999999</v>
      </c>
      <c r="L86">
        <v>1.9097</v>
      </c>
      <c r="M86">
        <v>230519701</v>
      </c>
      <c r="N86">
        <v>226262785.59999999</v>
      </c>
      <c r="O86">
        <v>272</v>
      </c>
      <c r="P86">
        <v>2</v>
      </c>
      <c r="Q86">
        <v>136</v>
      </c>
      <c r="R86">
        <v>0.99827050100000003</v>
      </c>
    </row>
    <row r="87" spans="1:18" x14ac:dyDescent="0.2">
      <c r="A87">
        <v>87</v>
      </c>
      <c r="B87">
        <v>76</v>
      </c>
      <c r="C87">
        <v>3</v>
      </c>
      <c r="D87">
        <v>20190516</v>
      </c>
      <c r="E87" t="s">
        <v>17</v>
      </c>
      <c r="F87">
        <v>2955.7109999999998</v>
      </c>
      <c r="G87">
        <v>2933.4953999999998</v>
      </c>
      <c r="H87">
        <v>2956.1709999999998</v>
      </c>
      <c r="I87">
        <v>2929.0645</v>
      </c>
      <c r="J87">
        <v>2938.6781000000001</v>
      </c>
      <c r="K87">
        <v>17.032900000000001</v>
      </c>
      <c r="L87">
        <v>0.5796</v>
      </c>
      <c r="M87">
        <v>248385701</v>
      </c>
      <c r="N87">
        <v>226203068.90000001</v>
      </c>
      <c r="O87">
        <v>157</v>
      </c>
      <c r="P87">
        <v>37</v>
      </c>
      <c r="Q87">
        <v>4.2432432430000002</v>
      </c>
      <c r="R87">
        <v>0.98837238400000005</v>
      </c>
    </row>
    <row r="88" spans="1:18" x14ac:dyDescent="0.2">
      <c r="A88">
        <v>88</v>
      </c>
      <c r="B88">
        <v>44</v>
      </c>
      <c r="C88">
        <v>35</v>
      </c>
      <c r="D88">
        <v>20190517</v>
      </c>
      <c r="E88" t="s">
        <v>17</v>
      </c>
      <c r="F88">
        <v>2882.2962000000002</v>
      </c>
      <c r="G88">
        <v>2955.7669000000001</v>
      </c>
      <c r="H88">
        <v>2956.7831999999999</v>
      </c>
      <c r="I88">
        <v>2873.7997999999998</v>
      </c>
      <c r="J88">
        <v>2955.7109999999998</v>
      </c>
      <c r="K88">
        <v>-73.4148</v>
      </c>
      <c r="L88">
        <v>-2.4838</v>
      </c>
      <c r="M88">
        <v>266301643</v>
      </c>
      <c r="N88">
        <v>247875177.69999999</v>
      </c>
      <c r="O88">
        <v>61</v>
      </c>
      <c r="P88">
        <v>940</v>
      </c>
      <c r="Q88">
        <v>6.4893617000000001E-2</v>
      </c>
      <c r="R88">
        <v>0.96251613800000002</v>
      </c>
    </row>
    <row r="89" spans="1:18" x14ac:dyDescent="0.2">
      <c r="A89">
        <v>89</v>
      </c>
      <c r="B89">
        <v>54</v>
      </c>
      <c r="C89">
        <v>54</v>
      </c>
      <c r="D89">
        <v>20190520</v>
      </c>
      <c r="E89" t="s">
        <v>17</v>
      </c>
      <c r="F89">
        <v>2870.6046000000001</v>
      </c>
      <c r="G89">
        <v>2874.8011000000001</v>
      </c>
      <c r="H89">
        <v>2882.6293999999998</v>
      </c>
      <c r="I89">
        <v>2838.453</v>
      </c>
      <c r="J89">
        <v>2882.2962000000002</v>
      </c>
      <c r="K89">
        <v>-11.691599999999999</v>
      </c>
      <c r="L89">
        <v>-0.40560000000000002</v>
      </c>
      <c r="M89">
        <v>209472442</v>
      </c>
      <c r="N89">
        <v>199210776.19999999</v>
      </c>
      <c r="O89">
        <v>158</v>
      </c>
      <c r="P89">
        <v>221</v>
      </c>
      <c r="Q89">
        <v>0.71493212699999997</v>
      </c>
      <c r="R89">
        <v>0.96727140599999994</v>
      </c>
    </row>
    <row r="90" spans="1:18" x14ac:dyDescent="0.2">
      <c r="A90">
        <v>90</v>
      </c>
      <c r="B90">
        <v>75</v>
      </c>
      <c r="C90">
        <v>10</v>
      </c>
      <c r="D90">
        <v>20190521</v>
      </c>
      <c r="E90" t="s">
        <v>17</v>
      </c>
      <c r="F90">
        <v>2905.9688000000001</v>
      </c>
      <c r="G90">
        <v>2867.7066</v>
      </c>
      <c r="H90">
        <v>2919.2372999999998</v>
      </c>
      <c r="I90">
        <v>2862.4951000000001</v>
      </c>
      <c r="J90">
        <v>2870.6046000000001</v>
      </c>
      <c r="K90">
        <v>35.364199999999997</v>
      </c>
      <c r="L90">
        <v>1.2319</v>
      </c>
      <c r="M90">
        <v>211387022</v>
      </c>
      <c r="N90">
        <v>202777774.09999999</v>
      </c>
      <c r="O90">
        <v>240</v>
      </c>
      <c r="P90">
        <v>23</v>
      </c>
      <c r="Q90">
        <v>10.434782609999999</v>
      </c>
      <c r="R90">
        <v>1.0176331219999999</v>
      </c>
    </row>
    <row r="91" spans="1:18" x14ac:dyDescent="0.2">
      <c r="A91">
        <v>91</v>
      </c>
      <c r="B91">
        <v>57</v>
      </c>
      <c r="C91">
        <v>7</v>
      </c>
      <c r="D91">
        <v>20190522</v>
      </c>
      <c r="E91" t="s">
        <v>17</v>
      </c>
      <c r="F91">
        <v>2891.7046</v>
      </c>
      <c r="G91">
        <v>2905.5241000000001</v>
      </c>
      <c r="H91">
        <v>2912.3951999999999</v>
      </c>
      <c r="I91">
        <v>2879.6437000000001</v>
      </c>
      <c r="J91">
        <v>2905.9688000000001</v>
      </c>
      <c r="K91">
        <v>-14.264200000000001</v>
      </c>
      <c r="L91">
        <v>-0.4909</v>
      </c>
      <c r="M91">
        <v>200026905</v>
      </c>
      <c r="N91">
        <v>193629366.59999999</v>
      </c>
      <c r="O91">
        <v>109</v>
      </c>
      <c r="P91">
        <v>49</v>
      </c>
      <c r="Q91">
        <v>2.2244897959999999</v>
      </c>
      <c r="R91">
        <v>0.98412406100000005</v>
      </c>
    </row>
    <row r="92" spans="1:18" x14ac:dyDescent="0.2">
      <c r="A92">
        <v>92</v>
      </c>
      <c r="B92">
        <v>38</v>
      </c>
      <c r="C92">
        <v>44</v>
      </c>
      <c r="D92">
        <v>20190523</v>
      </c>
      <c r="E92" t="s">
        <v>17</v>
      </c>
      <c r="F92">
        <v>2852.5153</v>
      </c>
      <c r="G92">
        <v>2880.8425999999999</v>
      </c>
      <c r="H92">
        <v>2885.1388999999999</v>
      </c>
      <c r="I92">
        <v>2846.9560000000001</v>
      </c>
      <c r="J92">
        <v>2891.7046</v>
      </c>
      <c r="K92">
        <v>-39.189300000000003</v>
      </c>
      <c r="L92">
        <v>-1.3552</v>
      </c>
      <c r="M92">
        <v>197340309</v>
      </c>
      <c r="N92">
        <v>192869487.30000001</v>
      </c>
      <c r="O92">
        <v>54</v>
      </c>
      <c r="P92">
        <v>342</v>
      </c>
      <c r="Q92">
        <v>0.15789473700000001</v>
      </c>
      <c r="R92">
        <v>0.97056884300000001</v>
      </c>
    </row>
    <row r="93" spans="1:18" x14ac:dyDescent="0.2">
      <c r="A93">
        <v>93</v>
      </c>
      <c r="B93">
        <v>46</v>
      </c>
      <c r="C93">
        <v>43</v>
      </c>
      <c r="D93">
        <v>20190524</v>
      </c>
      <c r="E93" t="s">
        <v>17</v>
      </c>
      <c r="F93">
        <v>2852.9947999999999</v>
      </c>
      <c r="G93">
        <v>2847.8355999999999</v>
      </c>
      <c r="H93">
        <v>2871.8555000000001</v>
      </c>
      <c r="I93">
        <v>2846.0214999999998</v>
      </c>
      <c r="J93">
        <v>2852.5153</v>
      </c>
      <c r="K93">
        <v>0.47949999999999998</v>
      </c>
      <c r="L93">
        <v>1.6799999999999999E-2</v>
      </c>
      <c r="M93">
        <v>167205490</v>
      </c>
      <c r="N93">
        <v>162689316.19999999</v>
      </c>
      <c r="O93">
        <v>85</v>
      </c>
      <c r="P93">
        <v>189</v>
      </c>
      <c r="Q93">
        <v>0.44973544999999998</v>
      </c>
      <c r="R93">
        <v>0.997125021</v>
      </c>
    </row>
    <row r="94" spans="1:18" x14ac:dyDescent="0.2">
      <c r="A94">
        <v>94</v>
      </c>
      <c r="B94">
        <v>94</v>
      </c>
      <c r="C94">
        <v>8</v>
      </c>
      <c r="D94">
        <v>20190527</v>
      </c>
      <c r="E94" t="s">
        <v>17</v>
      </c>
      <c r="F94">
        <v>2892.3782000000001</v>
      </c>
      <c r="G94">
        <v>2851.2809000000002</v>
      </c>
      <c r="H94">
        <v>2898.1289999999999</v>
      </c>
      <c r="I94">
        <v>2833.0363000000002</v>
      </c>
      <c r="J94">
        <v>2852.9947999999999</v>
      </c>
      <c r="K94">
        <v>39.383400000000002</v>
      </c>
      <c r="L94">
        <v>1.3804000000000001</v>
      </c>
      <c r="M94">
        <v>196720902</v>
      </c>
      <c r="N94">
        <v>193768714.30000001</v>
      </c>
      <c r="O94">
        <v>372</v>
      </c>
      <c r="P94">
        <v>15</v>
      </c>
      <c r="Q94">
        <v>24.8</v>
      </c>
      <c r="R94">
        <v>1.0196279180000001</v>
      </c>
    </row>
    <row r="95" spans="1:18" x14ac:dyDescent="0.2">
      <c r="A95">
        <v>95</v>
      </c>
      <c r="B95">
        <v>70</v>
      </c>
      <c r="C95">
        <v>5</v>
      </c>
      <c r="D95">
        <v>20190528</v>
      </c>
      <c r="E95" t="s">
        <v>17</v>
      </c>
      <c r="F95">
        <v>2909.9106000000002</v>
      </c>
      <c r="G95">
        <v>2890.2658000000001</v>
      </c>
      <c r="H95">
        <v>2924.0394999999999</v>
      </c>
      <c r="I95">
        <v>2887.0835000000002</v>
      </c>
      <c r="J95">
        <v>2892.3782000000001</v>
      </c>
      <c r="K95">
        <v>17.532399999999999</v>
      </c>
      <c r="L95">
        <v>0.60619999999999996</v>
      </c>
      <c r="M95">
        <v>223310557</v>
      </c>
      <c r="N95">
        <v>227253813.69999999</v>
      </c>
      <c r="O95">
        <v>113</v>
      </c>
      <c r="P95">
        <v>9</v>
      </c>
      <c r="Q95">
        <v>12.55555556</v>
      </c>
      <c r="R95">
        <v>1.008246398</v>
      </c>
    </row>
    <row r="96" spans="1:18" x14ac:dyDescent="0.2">
      <c r="A96">
        <v>96</v>
      </c>
      <c r="B96">
        <v>69</v>
      </c>
      <c r="C96">
        <v>5</v>
      </c>
      <c r="D96">
        <v>20190529</v>
      </c>
      <c r="E96" t="s">
        <v>17</v>
      </c>
      <c r="F96">
        <v>2914.6963999999998</v>
      </c>
      <c r="G96">
        <v>2894.8296999999998</v>
      </c>
      <c r="H96">
        <v>2934.9767999999999</v>
      </c>
      <c r="I96">
        <v>2890.6644999999999</v>
      </c>
      <c r="J96">
        <v>2909.9106000000002</v>
      </c>
      <c r="K96">
        <v>4.7858000000000001</v>
      </c>
      <c r="L96">
        <v>0.16450000000000001</v>
      </c>
      <c r="M96">
        <v>198958821</v>
      </c>
      <c r="N96">
        <v>202855039.19999999</v>
      </c>
      <c r="O96">
        <v>132</v>
      </c>
      <c r="P96">
        <v>10</v>
      </c>
      <c r="Q96">
        <v>13.2</v>
      </c>
      <c r="R96">
        <v>1.0037192640000001</v>
      </c>
    </row>
    <row r="97" spans="1:18" x14ac:dyDescent="0.2">
      <c r="A97">
        <v>97</v>
      </c>
      <c r="B97">
        <v>54</v>
      </c>
      <c r="C97">
        <v>22</v>
      </c>
      <c r="D97">
        <v>20190530</v>
      </c>
      <c r="E97" t="s">
        <v>17</v>
      </c>
      <c r="F97">
        <v>2905.8054000000002</v>
      </c>
      <c r="G97">
        <v>2903.4245999999998</v>
      </c>
      <c r="H97">
        <v>2907.8463000000002</v>
      </c>
      <c r="I97">
        <v>2881.3802000000001</v>
      </c>
      <c r="J97">
        <v>2914.6963999999998</v>
      </c>
      <c r="K97">
        <v>-8.891</v>
      </c>
      <c r="L97">
        <v>-0.30499999999999999</v>
      </c>
      <c r="M97">
        <v>205758789</v>
      </c>
      <c r="N97">
        <v>197105555.80000001</v>
      </c>
      <c r="O97">
        <v>113</v>
      </c>
      <c r="P97">
        <v>86</v>
      </c>
      <c r="Q97">
        <v>1.3139534879999999</v>
      </c>
      <c r="R97">
        <v>1.0008589670000001</v>
      </c>
    </row>
    <row r="98" spans="1:18" x14ac:dyDescent="0.2">
      <c r="A98">
        <v>98</v>
      </c>
      <c r="B98">
        <v>68</v>
      </c>
      <c r="C98">
        <v>7</v>
      </c>
      <c r="D98">
        <v>20190531</v>
      </c>
      <c r="E98" t="s">
        <v>17</v>
      </c>
      <c r="F98">
        <v>2898.6961000000001</v>
      </c>
      <c r="G98">
        <v>2904.4976000000001</v>
      </c>
      <c r="H98">
        <v>2922.9074999999998</v>
      </c>
      <c r="I98">
        <v>2895.5778</v>
      </c>
      <c r="J98">
        <v>2905.8054000000002</v>
      </c>
      <c r="K98">
        <v>-7.1093000000000002</v>
      </c>
      <c r="L98">
        <v>-0.2447</v>
      </c>
      <c r="M98">
        <v>195230580</v>
      </c>
      <c r="N98">
        <v>191280403.59999999</v>
      </c>
      <c r="O98">
        <v>127</v>
      </c>
      <c r="P98">
        <v>47</v>
      </c>
      <c r="Q98">
        <v>2.7021276599999999</v>
      </c>
      <c r="R98">
        <v>1.016974689</v>
      </c>
    </row>
    <row r="99" spans="1:18" x14ac:dyDescent="0.2">
      <c r="A99">
        <v>99</v>
      </c>
      <c r="B99">
        <v>43</v>
      </c>
      <c r="C99">
        <v>46</v>
      </c>
      <c r="D99">
        <v>20190603</v>
      </c>
      <c r="E99" t="s">
        <v>17</v>
      </c>
      <c r="F99">
        <v>2890.0808999999999</v>
      </c>
      <c r="G99">
        <v>2901.7424000000001</v>
      </c>
      <c r="H99">
        <v>2920.8292000000001</v>
      </c>
      <c r="I99">
        <v>2875.9018999999998</v>
      </c>
      <c r="J99">
        <v>2898.6961000000001</v>
      </c>
      <c r="K99">
        <v>-8.6151999999999997</v>
      </c>
      <c r="L99">
        <v>-0.29720000000000002</v>
      </c>
      <c r="M99">
        <v>215943554</v>
      </c>
      <c r="N99">
        <v>208073320.30000001</v>
      </c>
      <c r="O99">
        <v>77</v>
      </c>
      <c r="P99">
        <v>237</v>
      </c>
      <c r="Q99">
        <v>0.32489451499999999</v>
      </c>
      <c r="R99">
        <v>0.94814077799999996</v>
      </c>
    </row>
    <row r="100" spans="1:18" x14ac:dyDescent="0.2">
      <c r="A100">
        <v>100</v>
      </c>
      <c r="B100">
        <v>36</v>
      </c>
      <c r="C100">
        <v>41</v>
      </c>
      <c r="D100">
        <v>20190604</v>
      </c>
      <c r="E100" t="s">
        <v>17</v>
      </c>
      <c r="F100">
        <v>2862.2802999999999</v>
      </c>
      <c r="G100">
        <v>2887.6405</v>
      </c>
      <c r="H100">
        <v>2888.3861000000002</v>
      </c>
      <c r="I100">
        <v>2851.9728</v>
      </c>
      <c r="J100">
        <v>2890.0808999999999</v>
      </c>
      <c r="K100">
        <v>-27.800599999999999</v>
      </c>
      <c r="L100">
        <v>-0.96189999999999998</v>
      </c>
      <c r="M100">
        <v>188463541</v>
      </c>
      <c r="N100">
        <v>181118915.5</v>
      </c>
      <c r="O100">
        <v>61</v>
      </c>
      <c r="P100">
        <v>242</v>
      </c>
      <c r="Q100">
        <v>0.25206611600000001</v>
      </c>
      <c r="R100">
        <v>0.979144872</v>
      </c>
    </row>
    <row r="101" spans="1:18" x14ac:dyDescent="0.2">
      <c r="A101">
        <v>101</v>
      </c>
      <c r="B101">
        <v>62</v>
      </c>
      <c r="C101">
        <v>22</v>
      </c>
      <c r="D101">
        <v>20190605</v>
      </c>
      <c r="E101" t="s">
        <v>17</v>
      </c>
      <c r="F101">
        <v>2861.4180999999999</v>
      </c>
      <c r="G101">
        <v>2882.9369000000002</v>
      </c>
      <c r="H101">
        <v>2888.7676000000001</v>
      </c>
      <c r="I101">
        <v>2858.5718999999999</v>
      </c>
      <c r="J101">
        <v>2862.2802999999999</v>
      </c>
      <c r="K101">
        <v>-0.86219999999999997</v>
      </c>
      <c r="L101">
        <v>-3.0099999999999998E-2</v>
      </c>
      <c r="M101">
        <v>181561047</v>
      </c>
      <c r="N101">
        <v>175200844.19999999</v>
      </c>
      <c r="O101">
        <v>124</v>
      </c>
      <c r="P101">
        <v>73</v>
      </c>
      <c r="Q101">
        <v>1.6986301370000001</v>
      </c>
      <c r="R101">
        <v>0.98747809900000005</v>
      </c>
    </row>
    <row r="102" spans="1:18" x14ac:dyDescent="0.2">
      <c r="A102">
        <v>102</v>
      </c>
      <c r="B102">
        <v>25</v>
      </c>
      <c r="C102">
        <v>66</v>
      </c>
      <c r="D102">
        <v>20190606</v>
      </c>
      <c r="E102" t="s">
        <v>17</v>
      </c>
      <c r="F102">
        <v>2827.7977999999998</v>
      </c>
      <c r="G102">
        <v>2862.3326999999999</v>
      </c>
      <c r="H102">
        <v>2862.3326999999999</v>
      </c>
      <c r="I102">
        <v>2822.1853000000001</v>
      </c>
      <c r="J102">
        <v>2861.4180999999999</v>
      </c>
      <c r="K102">
        <v>-33.6203</v>
      </c>
      <c r="L102">
        <v>-1.175</v>
      </c>
      <c r="M102">
        <v>177064411</v>
      </c>
      <c r="N102">
        <v>164850546.69999999</v>
      </c>
      <c r="O102">
        <v>36</v>
      </c>
      <c r="P102">
        <v>439</v>
      </c>
      <c r="Q102">
        <v>8.2004556000000006E-2</v>
      </c>
      <c r="R102">
        <v>0.97094826099999998</v>
      </c>
    </row>
    <row r="103" spans="1:18" x14ac:dyDescent="0.2">
      <c r="A103">
        <v>103</v>
      </c>
      <c r="B103">
        <v>73</v>
      </c>
      <c r="C103">
        <v>24</v>
      </c>
      <c r="D103">
        <v>20190610</v>
      </c>
      <c r="E103" t="s">
        <v>17</v>
      </c>
      <c r="F103">
        <v>2852.1302000000001</v>
      </c>
      <c r="G103">
        <v>2833.0145000000002</v>
      </c>
      <c r="H103">
        <v>2861.1309999999999</v>
      </c>
      <c r="I103">
        <v>2824.3553999999999</v>
      </c>
      <c r="J103">
        <v>2827.7977999999998</v>
      </c>
      <c r="K103">
        <v>24.3324</v>
      </c>
      <c r="L103">
        <v>0.86050000000000004</v>
      </c>
      <c r="M103">
        <v>166585918</v>
      </c>
      <c r="N103">
        <v>162489831.40000001</v>
      </c>
      <c r="O103">
        <v>205</v>
      </c>
      <c r="P103">
        <v>47</v>
      </c>
      <c r="Q103">
        <v>4.3617021280000001</v>
      </c>
      <c r="R103">
        <v>1.008629657</v>
      </c>
    </row>
    <row r="104" spans="1:18" x14ac:dyDescent="0.2">
      <c r="A104">
        <v>104</v>
      </c>
      <c r="B104">
        <v>121</v>
      </c>
      <c r="C104">
        <v>5</v>
      </c>
      <c r="D104">
        <v>20190611</v>
      </c>
      <c r="E104" t="s">
        <v>17</v>
      </c>
      <c r="F104">
        <v>2925.7161999999998</v>
      </c>
      <c r="G104">
        <v>2854.0704000000001</v>
      </c>
      <c r="H104">
        <v>2927.4303</v>
      </c>
      <c r="I104">
        <v>2854.0704000000001</v>
      </c>
      <c r="J104">
        <v>2852.1302000000001</v>
      </c>
      <c r="K104">
        <v>73.585999999999999</v>
      </c>
      <c r="L104">
        <v>2.58</v>
      </c>
      <c r="M104">
        <v>260525796</v>
      </c>
      <c r="N104">
        <v>254479985.80000001</v>
      </c>
      <c r="O104">
        <v>547</v>
      </c>
      <c r="P104">
        <v>5</v>
      </c>
      <c r="Q104">
        <v>109.4</v>
      </c>
      <c r="R104">
        <v>1.031029006</v>
      </c>
    </row>
    <row r="105" spans="1:18" x14ac:dyDescent="0.2">
      <c r="A105">
        <v>105</v>
      </c>
      <c r="B105">
        <v>64</v>
      </c>
      <c r="C105">
        <v>5</v>
      </c>
      <c r="D105">
        <v>20190612</v>
      </c>
      <c r="E105" t="s">
        <v>17</v>
      </c>
      <c r="F105">
        <v>2909.3796000000002</v>
      </c>
      <c r="G105">
        <v>2917.2239</v>
      </c>
      <c r="H105">
        <v>2924.7017999999998</v>
      </c>
      <c r="I105">
        <v>2903.8833</v>
      </c>
      <c r="J105">
        <v>2925.7161999999998</v>
      </c>
      <c r="K105">
        <v>-16.336600000000001</v>
      </c>
      <c r="L105">
        <v>-0.55840000000000001</v>
      </c>
      <c r="M105">
        <v>240255775</v>
      </c>
      <c r="N105">
        <v>223063953.30000001</v>
      </c>
      <c r="O105">
        <v>104</v>
      </c>
      <c r="P105">
        <v>38</v>
      </c>
      <c r="Q105">
        <v>2.736842105</v>
      </c>
      <c r="R105">
        <v>0.99430813699999998</v>
      </c>
    </row>
    <row r="106" spans="1:18" x14ac:dyDescent="0.2">
      <c r="A106">
        <v>106</v>
      </c>
      <c r="B106">
        <v>81</v>
      </c>
      <c r="C106">
        <v>8</v>
      </c>
      <c r="D106">
        <v>20190613</v>
      </c>
      <c r="E106" t="s">
        <v>17</v>
      </c>
      <c r="F106">
        <v>2910.7406000000001</v>
      </c>
      <c r="G106">
        <v>2905.2876999999999</v>
      </c>
      <c r="H106">
        <v>2918.4227000000001</v>
      </c>
      <c r="I106">
        <v>2885.9232000000002</v>
      </c>
      <c r="J106">
        <v>2909.3796000000002</v>
      </c>
      <c r="K106">
        <v>1.361</v>
      </c>
      <c r="L106">
        <v>4.6800000000000001E-2</v>
      </c>
      <c r="M106">
        <v>212957791</v>
      </c>
      <c r="N106">
        <v>191748206.69999999</v>
      </c>
      <c r="O106">
        <v>139</v>
      </c>
      <c r="P106">
        <v>41</v>
      </c>
      <c r="Q106">
        <v>3.3902439019999999</v>
      </c>
      <c r="R106">
        <v>0.98852139900000002</v>
      </c>
    </row>
    <row r="107" spans="1:18" x14ac:dyDescent="0.2">
      <c r="A107">
        <v>107</v>
      </c>
      <c r="B107">
        <v>22</v>
      </c>
      <c r="C107">
        <v>25</v>
      </c>
      <c r="D107">
        <v>20190614</v>
      </c>
      <c r="E107" t="s">
        <v>17</v>
      </c>
      <c r="F107">
        <v>2881.9742999999999</v>
      </c>
      <c r="G107">
        <v>2912.9987999999998</v>
      </c>
      <c r="H107">
        <v>2924.3197</v>
      </c>
      <c r="I107">
        <v>2879.6572999999999</v>
      </c>
      <c r="J107">
        <v>2910.7406000000001</v>
      </c>
      <c r="K107">
        <v>-28.766300000000001</v>
      </c>
      <c r="L107">
        <v>-0.98829999999999996</v>
      </c>
      <c r="M107">
        <v>215435796</v>
      </c>
      <c r="N107">
        <v>194303111.80000001</v>
      </c>
      <c r="O107">
        <v>39</v>
      </c>
      <c r="P107">
        <v>281</v>
      </c>
      <c r="Q107">
        <v>0.13879003600000001</v>
      </c>
      <c r="R107">
        <v>0.95834941600000001</v>
      </c>
    </row>
    <row r="108" spans="1:18" x14ac:dyDescent="0.2">
      <c r="A108">
        <v>108</v>
      </c>
      <c r="B108">
        <v>45</v>
      </c>
      <c r="C108">
        <v>15</v>
      </c>
      <c r="D108">
        <v>20190617</v>
      </c>
      <c r="E108" t="s">
        <v>17</v>
      </c>
      <c r="F108">
        <v>2887.6113</v>
      </c>
      <c r="G108">
        <v>2880.4225999999999</v>
      </c>
      <c r="H108">
        <v>2902.4807999999998</v>
      </c>
      <c r="I108">
        <v>2877.3941</v>
      </c>
      <c r="J108">
        <v>2881.9742999999999</v>
      </c>
      <c r="K108">
        <v>5.6369999999999996</v>
      </c>
      <c r="L108">
        <v>0.1956</v>
      </c>
      <c r="M108">
        <v>153964960</v>
      </c>
      <c r="N108">
        <v>143141637.30000001</v>
      </c>
      <c r="O108">
        <v>97</v>
      </c>
      <c r="P108">
        <v>77</v>
      </c>
      <c r="Q108">
        <v>1.2597402600000001</v>
      </c>
      <c r="R108">
        <v>1.0135968420000001</v>
      </c>
    </row>
    <row r="109" spans="1:18" x14ac:dyDescent="0.2">
      <c r="A109">
        <v>109</v>
      </c>
      <c r="B109">
        <v>45</v>
      </c>
      <c r="C109">
        <v>5</v>
      </c>
      <c r="D109">
        <v>20190618</v>
      </c>
      <c r="E109" t="s">
        <v>17</v>
      </c>
      <c r="F109">
        <v>2890.1579999999999</v>
      </c>
      <c r="G109">
        <v>2891.0916999999999</v>
      </c>
      <c r="H109">
        <v>2898.3303999999998</v>
      </c>
      <c r="I109">
        <v>2874.3128999999999</v>
      </c>
      <c r="J109">
        <v>2887.6221</v>
      </c>
      <c r="K109">
        <v>2.5358999999999998</v>
      </c>
      <c r="L109">
        <v>8.7800000000000003E-2</v>
      </c>
      <c r="M109">
        <v>147705320</v>
      </c>
      <c r="N109">
        <v>136935231.69999999</v>
      </c>
      <c r="O109">
        <v>79</v>
      </c>
      <c r="P109">
        <v>37</v>
      </c>
      <c r="Q109">
        <v>2.1351351350000001</v>
      </c>
      <c r="R109">
        <v>0.99161612300000002</v>
      </c>
    </row>
    <row r="110" spans="1:18" x14ac:dyDescent="0.2">
      <c r="A110">
        <v>110</v>
      </c>
      <c r="B110">
        <v>87</v>
      </c>
      <c r="C110">
        <v>3</v>
      </c>
      <c r="D110">
        <v>20190619</v>
      </c>
      <c r="E110" t="s">
        <v>17</v>
      </c>
      <c r="F110">
        <v>2917.8029000000001</v>
      </c>
      <c r="G110">
        <v>2944.1154000000001</v>
      </c>
      <c r="H110">
        <v>2953.3355000000001</v>
      </c>
      <c r="I110">
        <v>2916.2148999999999</v>
      </c>
      <c r="J110">
        <v>2890.1579999999999</v>
      </c>
      <c r="K110">
        <v>27.6449</v>
      </c>
      <c r="L110">
        <v>0.95650000000000002</v>
      </c>
      <c r="M110">
        <v>230756973</v>
      </c>
      <c r="N110">
        <v>225567258</v>
      </c>
      <c r="O110">
        <v>169</v>
      </c>
      <c r="P110">
        <v>4</v>
      </c>
      <c r="Q110">
        <v>42.25</v>
      </c>
      <c r="R110">
        <v>0.99731356400000004</v>
      </c>
    </row>
    <row r="111" spans="1:18" x14ac:dyDescent="0.2">
      <c r="A111">
        <v>111</v>
      </c>
      <c r="B111">
        <v>65</v>
      </c>
      <c r="C111">
        <v>8</v>
      </c>
      <c r="D111">
        <v>20190620</v>
      </c>
      <c r="E111" t="s">
        <v>17</v>
      </c>
      <c r="F111">
        <v>2987.1185999999998</v>
      </c>
      <c r="G111">
        <v>2917.3310000000001</v>
      </c>
      <c r="H111">
        <v>2997.3888000000002</v>
      </c>
      <c r="I111">
        <v>2915.0895</v>
      </c>
      <c r="J111">
        <v>2917.8029000000001</v>
      </c>
      <c r="K111">
        <v>69.315700000000007</v>
      </c>
      <c r="L111">
        <v>2.3755999999999999</v>
      </c>
      <c r="M111">
        <v>291011537</v>
      </c>
      <c r="N111">
        <v>288296546.39999998</v>
      </c>
      <c r="O111">
        <v>192</v>
      </c>
      <c r="P111">
        <v>29</v>
      </c>
      <c r="Q111">
        <v>6.6206896549999996</v>
      </c>
      <c r="R111">
        <v>1.012270295</v>
      </c>
    </row>
    <row r="112" spans="1:18" x14ac:dyDescent="0.2">
      <c r="A112">
        <v>112</v>
      </c>
      <c r="B112">
        <v>138</v>
      </c>
      <c r="C112">
        <v>2</v>
      </c>
      <c r="D112">
        <v>20190621</v>
      </c>
      <c r="E112" t="s">
        <v>17</v>
      </c>
      <c r="F112">
        <v>3001.9802</v>
      </c>
      <c r="G112">
        <v>2990.3687</v>
      </c>
      <c r="H112">
        <v>3010.3490000000002</v>
      </c>
      <c r="I112">
        <v>2989.2453999999998</v>
      </c>
      <c r="J112">
        <v>2987.1185999999998</v>
      </c>
      <c r="K112">
        <v>14.861599999999999</v>
      </c>
      <c r="L112">
        <v>0.4975</v>
      </c>
      <c r="M112">
        <v>286973835</v>
      </c>
      <c r="N112">
        <v>276662458.5</v>
      </c>
      <c r="O112">
        <v>284</v>
      </c>
      <c r="P112">
        <v>6</v>
      </c>
      <c r="Q112">
        <v>47.333333330000002</v>
      </c>
      <c r="R112">
        <v>1.008071004</v>
      </c>
    </row>
    <row r="113" spans="1:18" x14ac:dyDescent="0.2">
      <c r="A113">
        <v>113</v>
      </c>
      <c r="B113">
        <v>74</v>
      </c>
      <c r="C113">
        <v>8</v>
      </c>
      <c r="D113">
        <v>20190624</v>
      </c>
      <c r="E113" t="s">
        <v>17</v>
      </c>
      <c r="F113">
        <v>3008.1478999999999</v>
      </c>
      <c r="G113">
        <v>3004.2891</v>
      </c>
      <c r="H113">
        <v>3012.826</v>
      </c>
      <c r="I113">
        <v>2994.4218999999998</v>
      </c>
      <c r="J113">
        <v>3001.9802</v>
      </c>
      <c r="K113">
        <v>6.1677</v>
      </c>
      <c r="L113">
        <v>0.20549999999999999</v>
      </c>
      <c r="M113">
        <v>210493894</v>
      </c>
      <c r="N113">
        <v>211237183</v>
      </c>
      <c r="O113">
        <v>128</v>
      </c>
      <c r="P113">
        <v>39</v>
      </c>
      <c r="Q113">
        <v>3.2820512819999998</v>
      </c>
      <c r="R113">
        <v>0.97647880899999995</v>
      </c>
    </row>
    <row r="114" spans="1:18" x14ac:dyDescent="0.2">
      <c r="A114">
        <v>114</v>
      </c>
      <c r="B114">
        <v>49</v>
      </c>
      <c r="C114">
        <v>18</v>
      </c>
      <c r="D114">
        <v>20190625</v>
      </c>
      <c r="E114" t="s">
        <v>17</v>
      </c>
      <c r="F114">
        <v>2982.0738000000001</v>
      </c>
      <c r="G114">
        <v>3004.9095000000002</v>
      </c>
      <c r="H114">
        <v>3004.9095000000002</v>
      </c>
      <c r="I114">
        <v>2948.9906999999998</v>
      </c>
      <c r="J114">
        <v>3008.1478999999999</v>
      </c>
      <c r="K114">
        <v>-26.074100000000001</v>
      </c>
      <c r="L114">
        <v>-0.86680000000000001</v>
      </c>
      <c r="M114">
        <v>243699244</v>
      </c>
      <c r="N114">
        <v>244315077.40000001</v>
      </c>
      <c r="O114">
        <v>81</v>
      </c>
      <c r="P114">
        <v>94</v>
      </c>
      <c r="Q114">
        <v>0.86170212800000001</v>
      </c>
      <c r="R114">
        <v>0.99406417300000005</v>
      </c>
    </row>
    <row r="115" spans="1:18" x14ac:dyDescent="0.2">
      <c r="A115">
        <v>115</v>
      </c>
      <c r="B115">
        <v>43</v>
      </c>
      <c r="C115">
        <v>22</v>
      </c>
      <c r="D115">
        <v>20190626</v>
      </c>
      <c r="E115" t="s">
        <v>17</v>
      </c>
      <c r="F115">
        <v>2976.2837</v>
      </c>
      <c r="G115">
        <v>2964.6152999999999</v>
      </c>
      <c r="H115">
        <v>2986.9139</v>
      </c>
      <c r="I115">
        <v>2958.4632000000001</v>
      </c>
      <c r="J115">
        <v>2982.0738000000001</v>
      </c>
      <c r="K115">
        <v>-5.7900999999999998</v>
      </c>
      <c r="L115">
        <v>-0.19420000000000001</v>
      </c>
      <c r="M115">
        <v>174449533</v>
      </c>
      <c r="N115">
        <v>172516055.19999999</v>
      </c>
      <c r="O115">
        <v>92</v>
      </c>
      <c r="P115">
        <v>88</v>
      </c>
      <c r="Q115">
        <v>1.0454545449999999</v>
      </c>
      <c r="R115">
        <v>1.002143279</v>
      </c>
    </row>
    <row r="116" spans="1:18" x14ac:dyDescent="0.2">
      <c r="A116">
        <v>116</v>
      </c>
      <c r="B116">
        <v>59</v>
      </c>
      <c r="C116">
        <v>7</v>
      </c>
      <c r="D116">
        <v>20190627</v>
      </c>
      <c r="E116" t="s">
        <v>17</v>
      </c>
      <c r="F116">
        <v>2996.7926000000002</v>
      </c>
      <c r="G116">
        <v>2982.6125000000002</v>
      </c>
      <c r="H116">
        <v>3011.538</v>
      </c>
      <c r="I116">
        <v>2981.0450000000001</v>
      </c>
      <c r="J116">
        <v>2976.2837</v>
      </c>
      <c r="K116">
        <v>20.508900000000001</v>
      </c>
      <c r="L116">
        <v>0.68910000000000005</v>
      </c>
      <c r="M116">
        <v>195397049</v>
      </c>
      <c r="N116">
        <v>208618648.09999999</v>
      </c>
      <c r="O116">
        <v>137</v>
      </c>
      <c r="P116">
        <v>22</v>
      </c>
      <c r="Q116">
        <v>6.2272727269999999</v>
      </c>
      <c r="R116">
        <v>0.98965743399999995</v>
      </c>
    </row>
    <row r="117" spans="1:18" x14ac:dyDescent="0.2">
      <c r="A117">
        <v>117</v>
      </c>
      <c r="B117">
        <v>29</v>
      </c>
      <c r="C117">
        <v>10</v>
      </c>
      <c r="D117">
        <v>20190628</v>
      </c>
      <c r="E117" t="s">
        <v>17</v>
      </c>
      <c r="F117">
        <v>2978.8784000000001</v>
      </c>
      <c r="G117">
        <v>2992.2426</v>
      </c>
      <c r="H117">
        <v>2992.2426</v>
      </c>
      <c r="I117">
        <v>2961.2224999999999</v>
      </c>
      <c r="J117">
        <v>2996.7926000000002</v>
      </c>
      <c r="K117">
        <v>-17.914200000000001</v>
      </c>
      <c r="L117">
        <v>-0.5978</v>
      </c>
      <c r="M117">
        <v>181431523</v>
      </c>
      <c r="N117">
        <v>183641767.30000001</v>
      </c>
      <c r="O117">
        <v>46</v>
      </c>
      <c r="P117">
        <v>105</v>
      </c>
      <c r="Q117">
        <v>0.438095238</v>
      </c>
      <c r="R117">
        <v>0.97396226799999996</v>
      </c>
    </row>
    <row r="118" spans="1:18" x14ac:dyDescent="0.2">
      <c r="A118">
        <v>118</v>
      </c>
      <c r="B118">
        <v>108</v>
      </c>
      <c r="C118">
        <v>0</v>
      </c>
      <c r="D118">
        <v>20190701</v>
      </c>
      <c r="E118" t="s">
        <v>17</v>
      </c>
      <c r="F118">
        <v>3044.9027999999998</v>
      </c>
      <c r="G118">
        <v>3024.6237999999998</v>
      </c>
      <c r="H118">
        <v>3045.3669</v>
      </c>
      <c r="I118">
        <v>3014.6871000000001</v>
      </c>
      <c r="J118">
        <v>2978.8784000000001</v>
      </c>
      <c r="K118">
        <v>66.0244</v>
      </c>
      <c r="L118">
        <v>2.2164000000000001</v>
      </c>
      <c r="M118">
        <v>250840433</v>
      </c>
      <c r="N118">
        <v>266541056.90000001</v>
      </c>
      <c r="O118">
        <v>395</v>
      </c>
      <c r="P118">
        <v>1</v>
      </c>
      <c r="Q118">
        <v>395</v>
      </c>
      <c r="R118">
        <v>1.019166829</v>
      </c>
    </row>
    <row r="119" spans="1:18" x14ac:dyDescent="0.2">
      <c r="A119">
        <v>119</v>
      </c>
      <c r="B119">
        <v>33</v>
      </c>
      <c r="C119">
        <v>8</v>
      </c>
      <c r="D119">
        <v>20190702</v>
      </c>
      <c r="E119" t="s">
        <v>17</v>
      </c>
      <c r="F119">
        <v>3043.9427999999998</v>
      </c>
      <c r="G119">
        <v>3042.58</v>
      </c>
      <c r="H119">
        <v>3048.4839000000002</v>
      </c>
      <c r="I119">
        <v>3033.7809000000002</v>
      </c>
      <c r="J119">
        <v>3044.9027999999998</v>
      </c>
      <c r="K119">
        <v>-0.96</v>
      </c>
      <c r="L119">
        <v>-3.15E-2</v>
      </c>
      <c r="M119">
        <v>214520624</v>
      </c>
      <c r="N119">
        <v>229566616.5</v>
      </c>
      <c r="O119">
        <v>90</v>
      </c>
      <c r="P119">
        <v>45</v>
      </c>
      <c r="Q119">
        <v>2</v>
      </c>
      <c r="R119">
        <v>0.97272144599999999</v>
      </c>
    </row>
    <row r="120" spans="1:18" x14ac:dyDescent="0.2">
      <c r="A120">
        <v>120</v>
      </c>
      <c r="B120">
        <v>27</v>
      </c>
      <c r="C120">
        <v>7</v>
      </c>
      <c r="D120">
        <v>20190703</v>
      </c>
      <c r="E120" t="s">
        <v>17</v>
      </c>
      <c r="F120">
        <v>3015.2633000000001</v>
      </c>
      <c r="G120">
        <v>3031.8319999999999</v>
      </c>
      <c r="H120">
        <v>3031.8319999999999</v>
      </c>
      <c r="I120">
        <v>3006.3245999999999</v>
      </c>
      <c r="J120">
        <v>3043.9427999999998</v>
      </c>
      <c r="K120">
        <v>-28.679500000000001</v>
      </c>
      <c r="L120">
        <v>-0.94220000000000004</v>
      </c>
      <c r="M120">
        <v>212296173</v>
      </c>
      <c r="N120">
        <v>218657994.40000001</v>
      </c>
      <c r="O120">
        <v>55</v>
      </c>
      <c r="P120">
        <v>53</v>
      </c>
      <c r="Q120">
        <v>1.0377358489999999</v>
      </c>
      <c r="R120">
        <v>1.016053563</v>
      </c>
    </row>
    <row r="121" spans="1:18" x14ac:dyDescent="0.2">
      <c r="A121">
        <v>121</v>
      </c>
      <c r="B121">
        <v>31</v>
      </c>
      <c r="C121">
        <v>7</v>
      </c>
      <c r="D121">
        <v>20190704</v>
      </c>
      <c r="E121" t="s">
        <v>17</v>
      </c>
      <c r="F121">
        <v>3005.2487999999998</v>
      </c>
      <c r="G121">
        <v>3015.6785</v>
      </c>
      <c r="H121">
        <v>3024.5023000000001</v>
      </c>
      <c r="I121">
        <v>2991.9079000000002</v>
      </c>
      <c r="J121">
        <v>3015.2633000000001</v>
      </c>
      <c r="K121">
        <v>-10.0145</v>
      </c>
      <c r="L121">
        <v>-0.33210000000000001</v>
      </c>
      <c r="M121">
        <v>194415133</v>
      </c>
      <c r="N121">
        <v>202266388.59999999</v>
      </c>
      <c r="O121">
        <v>59</v>
      </c>
      <c r="P121">
        <v>53</v>
      </c>
      <c r="Q121">
        <v>1.113207547</v>
      </c>
      <c r="R121">
        <v>0.98977201699999995</v>
      </c>
    </row>
    <row r="122" spans="1:18" x14ac:dyDescent="0.2">
      <c r="A122">
        <v>122</v>
      </c>
      <c r="B122">
        <v>43</v>
      </c>
      <c r="C122">
        <v>5</v>
      </c>
      <c r="D122">
        <v>20190705</v>
      </c>
      <c r="E122" t="s">
        <v>17</v>
      </c>
      <c r="F122">
        <v>3011.0587999999998</v>
      </c>
      <c r="G122">
        <v>3004.7383</v>
      </c>
      <c r="H122">
        <v>3014.8474000000001</v>
      </c>
      <c r="I122">
        <v>2990.9247</v>
      </c>
      <c r="J122">
        <v>3005.2487999999998</v>
      </c>
      <c r="K122">
        <v>5.81</v>
      </c>
      <c r="L122">
        <v>0.1933</v>
      </c>
      <c r="M122">
        <v>156755429</v>
      </c>
      <c r="N122">
        <v>163180842.80000001</v>
      </c>
      <c r="O122">
        <v>96</v>
      </c>
      <c r="P122">
        <v>36</v>
      </c>
      <c r="Q122">
        <v>2.6666666669999999</v>
      </c>
      <c r="R122">
        <v>0.99091148200000001</v>
      </c>
    </row>
    <row r="123" spans="1:18" x14ac:dyDescent="0.2">
      <c r="A123">
        <v>123</v>
      </c>
      <c r="B123">
        <v>21</v>
      </c>
      <c r="C123">
        <v>19</v>
      </c>
      <c r="D123">
        <v>20190708</v>
      </c>
      <c r="E123" t="s">
        <v>17</v>
      </c>
      <c r="F123">
        <v>2933.3634000000002</v>
      </c>
      <c r="G123">
        <v>2997.8067000000001</v>
      </c>
      <c r="H123">
        <v>2997.8067000000001</v>
      </c>
      <c r="I123">
        <v>2918.7157000000002</v>
      </c>
      <c r="J123">
        <v>3011.0587999999998</v>
      </c>
      <c r="K123">
        <v>-77.695400000000006</v>
      </c>
      <c r="L123">
        <v>-2.5802999999999998</v>
      </c>
      <c r="M123">
        <v>211541268</v>
      </c>
      <c r="N123">
        <v>205568813.5</v>
      </c>
      <c r="O123">
        <v>37</v>
      </c>
      <c r="P123">
        <v>732</v>
      </c>
      <c r="Q123">
        <v>5.0546448000000001E-2</v>
      </c>
      <c r="R123">
        <v>0.98756667600000003</v>
      </c>
    </row>
    <row r="124" spans="1:18" x14ac:dyDescent="0.2">
      <c r="A124">
        <v>124</v>
      </c>
      <c r="B124">
        <v>37</v>
      </c>
      <c r="C124">
        <v>4</v>
      </c>
      <c r="D124">
        <v>20190709</v>
      </c>
      <c r="E124" t="s">
        <v>17</v>
      </c>
      <c r="F124">
        <v>2928.2294999999999</v>
      </c>
      <c r="G124">
        <v>2928.8188</v>
      </c>
      <c r="H124">
        <v>2937.7620999999999</v>
      </c>
      <c r="I124">
        <v>2912.8063000000002</v>
      </c>
      <c r="J124">
        <v>2933.3634000000002</v>
      </c>
      <c r="K124">
        <v>-5.1338999999999997</v>
      </c>
      <c r="L124">
        <v>-0.17499999999999999</v>
      </c>
      <c r="M124">
        <v>145110604</v>
      </c>
      <c r="N124">
        <v>154251421.80000001</v>
      </c>
      <c r="O124">
        <v>100</v>
      </c>
      <c r="P124">
        <v>33</v>
      </c>
      <c r="Q124">
        <v>3.0303030299999998</v>
      </c>
      <c r="R124">
        <v>1.0246965809999999</v>
      </c>
    </row>
    <row r="125" spans="1:18" x14ac:dyDescent="0.2">
      <c r="A125">
        <v>125</v>
      </c>
      <c r="B125">
        <v>30</v>
      </c>
      <c r="C125">
        <v>6</v>
      </c>
      <c r="D125">
        <v>20190710</v>
      </c>
      <c r="E125" t="s">
        <v>17</v>
      </c>
      <c r="F125">
        <v>2915.3022000000001</v>
      </c>
      <c r="G125">
        <v>2935.1855</v>
      </c>
      <c r="H125">
        <v>2936.7519000000002</v>
      </c>
      <c r="I125">
        <v>2908.1619999999998</v>
      </c>
      <c r="J125">
        <v>2928.2294999999999</v>
      </c>
      <c r="K125">
        <v>-12.927300000000001</v>
      </c>
      <c r="L125">
        <v>-0.4415</v>
      </c>
      <c r="M125">
        <v>135483538</v>
      </c>
      <c r="N125">
        <v>141236258.59999999</v>
      </c>
      <c r="O125">
        <v>53</v>
      </c>
      <c r="P125">
        <v>46</v>
      </c>
      <c r="Q125">
        <v>1.1521739129999999</v>
      </c>
      <c r="R125">
        <v>0.98725662199999997</v>
      </c>
    </row>
    <row r="126" spans="1:18" x14ac:dyDescent="0.2">
      <c r="A126">
        <v>126</v>
      </c>
      <c r="B126">
        <v>34</v>
      </c>
      <c r="C126">
        <v>0</v>
      </c>
      <c r="D126">
        <v>20190711</v>
      </c>
      <c r="E126" t="s">
        <v>17</v>
      </c>
      <c r="F126">
        <v>2917.7609000000002</v>
      </c>
      <c r="G126">
        <v>2928.0553</v>
      </c>
      <c r="H126">
        <v>2945.8022999999998</v>
      </c>
      <c r="I126">
        <v>2907.8852000000002</v>
      </c>
      <c r="J126">
        <v>2915.3022000000001</v>
      </c>
      <c r="K126">
        <v>2.4586999999999999</v>
      </c>
      <c r="L126">
        <v>8.43E-2</v>
      </c>
      <c r="M126">
        <v>143692522</v>
      </c>
      <c r="N126">
        <v>152181408</v>
      </c>
      <c r="O126">
        <v>85</v>
      </c>
      <c r="P126">
        <v>24</v>
      </c>
      <c r="Q126">
        <v>3.5416666669999999</v>
      </c>
      <c r="R126">
        <v>0.99761203499999995</v>
      </c>
    </row>
    <row r="127" spans="1:18" x14ac:dyDescent="0.2">
      <c r="A127">
        <v>127</v>
      </c>
      <c r="B127">
        <v>32</v>
      </c>
      <c r="C127">
        <v>8</v>
      </c>
      <c r="D127">
        <v>20190712</v>
      </c>
      <c r="E127" t="s">
        <v>17</v>
      </c>
      <c r="F127">
        <v>2930.5462000000002</v>
      </c>
      <c r="G127">
        <v>2915.3400999999999</v>
      </c>
      <c r="H127">
        <v>2938.5311000000002</v>
      </c>
      <c r="I127">
        <v>2905.8090000000002</v>
      </c>
      <c r="J127">
        <v>2917.7609000000002</v>
      </c>
      <c r="K127">
        <v>12.785299999999999</v>
      </c>
      <c r="L127">
        <v>0.43819999999999998</v>
      </c>
      <c r="M127">
        <v>137794759</v>
      </c>
      <c r="N127">
        <v>142918869.59999999</v>
      </c>
      <c r="O127">
        <v>87</v>
      </c>
      <c r="P127">
        <v>51</v>
      </c>
      <c r="Q127">
        <v>1.705882353</v>
      </c>
      <c r="R127">
        <v>0.99622736999999995</v>
      </c>
    </row>
    <row r="128" spans="1:18" x14ac:dyDescent="0.2">
      <c r="A128">
        <v>128</v>
      </c>
      <c r="B128">
        <v>42</v>
      </c>
      <c r="C128">
        <v>8</v>
      </c>
      <c r="D128">
        <v>20190715</v>
      </c>
      <c r="E128" t="s">
        <v>17</v>
      </c>
      <c r="F128">
        <v>2942.1853000000001</v>
      </c>
      <c r="G128">
        <v>2921.5459999999998</v>
      </c>
      <c r="H128">
        <v>2955.0003000000002</v>
      </c>
      <c r="I128">
        <v>2886.6993000000002</v>
      </c>
      <c r="J128">
        <v>2930.5462000000002</v>
      </c>
      <c r="K128">
        <v>11.639099999999999</v>
      </c>
      <c r="L128">
        <v>0.3972</v>
      </c>
      <c r="M128">
        <v>167643397</v>
      </c>
      <c r="N128">
        <v>176533201.19999999</v>
      </c>
      <c r="O128">
        <v>138</v>
      </c>
      <c r="P128">
        <v>53</v>
      </c>
      <c r="Q128">
        <v>2.6037735849999999</v>
      </c>
      <c r="R128">
        <v>1.0232038299999999</v>
      </c>
    </row>
    <row r="129" spans="1:18" x14ac:dyDescent="0.2">
      <c r="A129">
        <v>129</v>
      </c>
      <c r="B129">
        <v>39</v>
      </c>
      <c r="C129">
        <v>1</v>
      </c>
      <c r="D129">
        <v>20190716</v>
      </c>
      <c r="E129" t="s">
        <v>17</v>
      </c>
      <c r="F129">
        <v>2937.6167999999998</v>
      </c>
      <c r="G129">
        <v>2938.6410999999998</v>
      </c>
      <c r="H129">
        <v>2944.8209999999999</v>
      </c>
      <c r="I129">
        <v>2931.2926000000002</v>
      </c>
      <c r="J129">
        <v>2942.1853000000001</v>
      </c>
      <c r="K129">
        <v>-4.5685000000000002</v>
      </c>
      <c r="L129">
        <v>-0.15529999999999999</v>
      </c>
      <c r="M129">
        <v>131811751</v>
      </c>
      <c r="N129">
        <v>140766389</v>
      </c>
      <c r="O129">
        <v>76</v>
      </c>
      <c r="P129">
        <v>6</v>
      </c>
      <c r="Q129">
        <v>12.66666667</v>
      </c>
      <c r="R129">
        <v>1.00169453</v>
      </c>
    </row>
    <row r="130" spans="1:18" x14ac:dyDescent="0.2">
      <c r="A130">
        <v>130</v>
      </c>
      <c r="B130">
        <v>42</v>
      </c>
      <c r="C130">
        <v>2</v>
      </c>
      <c r="D130">
        <v>20190717</v>
      </c>
      <c r="E130" t="s">
        <v>17</v>
      </c>
      <c r="F130">
        <v>2931.6925999999999</v>
      </c>
      <c r="G130">
        <v>2933.0227</v>
      </c>
      <c r="H130">
        <v>2942.0668000000001</v>
      </c>
      <c r="I130">
        <v>2924.4594000000002</v>
      </c>
      <c r="J130">
        <v>2937.6167999999998</v>
      </c>
      <c r="K130">
        <v>-5.9241999999999999</v>
      </c>
      <c r="L130">
        <v>-0.20169999999999999</v>
      </c>
      <c r="M130">
        <v>149631616</v>
      </c>
      <c r="N130">
        <v>152162962.59999999</v>
      </c>
      <c r="O130">
        <v>86</v>
      </c>
      <c r="P130">
        <v>14</v>
      </c>
      <c r="Q130">
        <v>6.1428571429999996</v>
      </c>
      <c r="R130">
        <v>1.004352785</v>
      </c>
    </row>
    <row r="131" spans="1:18" x14ac:dyDescent="0.2">
      <c r="A131">
        <v>131</v>
      </c>
      <c r="B131">
        <v>22</v>
      </c>
      <c r="C131">
        <v>3</v>
      </c>
      <c r="D131">
        <v>20190718</v>
      </c>
      <c r="E131" t="s">
        <v>17</v>
      </c>
      <c r="F131">
        <v>2901.1765999999998</v>
      </c>
      <c r="G131">
        <v>2921.7386999999999</v>
      </c>
      <c r="H131">
        <v>2921.7386999999999</v>
      </c>
      <c r="I131">
        <v>2901.1765999999998</v>
      </c>
      <c r="J131">
        <v>2931.6925999999999</v>
      </c>
      <c r="K131">
        <v>-30.515999999999998</v>
      </c>
      <c r="L131">
        <v>-1.0408999999999999</v>
      </c>
      <c r="M131">
        <v>149888828</v>
      </c>
      <c r="N131">
        <v>149088843.09999999</v>
      </c>
      <c r="O131">
        <v>31</v>
      </c>
      <c r="P131">
        <v>78</v>
      </c>
      <c r="Q131">
        <v>0.39743589699999998</v>
      </c>
      <c r="R131">
        <v>0.984592782</v>
      </c>
    </row>
    <row r="132" spans="1:18" x14ac:dyDescent="0.2">
      <c r="A132">
        <v>132</v>
      </c>
      <c r="B132">
        <v>23</v>
      </c>
      <c r="C132">
        <v>3</v>
      </c>
      <c r="D132">
        <v>20190719</v>
      </c>
      <c r="E132" t="s">
        <v>17</v>
      </c>
      <c r="F132">
        <v>2924.2006000000001</v>
      </c>
      <c r="G132">
        <v>2909.6794</v>
      </c>
      <c r="H132">
        <v>2939.5972999999999</v>
      </c>
      <c r="I132">
        <v>2909.6794</v>
      </c>
      <c r="J132">
        <v>2901.1765999999998</v>
      </c>
      <c r="K132">
        <v>23.024000000000001</v>
      </c>
      <c r="L132">
        <v>0.79359999999999997</v>
      </c>
      <c r="M132">
        <v>149469553</v>
      </c>
      <c r="N132">
        <v>149071212</v>
      </c>
      <c r="O132">
        <v>88</v>
      </c>
      <c r="P132">
        <v>16</v>
      </c>
      <c r="Q132">
        <v>5.5</v>
      </c>
      <c r="R132">
        <v>1.0065982469999999</v>
      </c>
    </row>
    <row r="133" spans="1:18" x14ac:dyDescent="0.2">
      <c r="A133">
        <v>133</v>
      </c>
      <c r="B133">
        <v>12</v>
      </c>
      <c r="C133">
        <v>47</v>
      </c>
      <c r="D133">
        <v>20190722</v>
      </c>
      <c r="E133" t="s">
        <v>17</v>
      </c>
      <c r="F133">
        <v>2886.9740000000002</v>
      </c>
      <c r="G133">
        <v>2925.7882</v>
      </c>
      <c r="H133">
        <v>2927.1601000000001</v>
      </c>
      <c r="I133">
        <v>2879.69</v>
      </c>
      <c r="J133">
        <v>2924.2006000000001</v>
      </c>
      <c r="K133">
        <v>-37.226599999999998</v>
      </c>
      <c r="L133">
        <v>-1.2730999999999999</v>
      </c>
      <c r="M133">
        <v>180674960</v>
      </c>
      <c r="N133">
        <v>204289434.19999999</v>
      </c>
      <c r="O133">
        <v>22</v>
      </c>
      <c r="P133">
        <v>532</v>
      </c>
      <c r="Q133">
        <v>4.1353383000000001E-2</v>
      </c>
      <c r="R133">
        <v>0.98733184600000001</v>
      </c>
    </row>
    <row r="134" spans="1:18" x14ac:dyDescent="0.2">
      <c r="A134">
        <v>134</v>
      </c>
      <c r="B134">
        <v>45</v>
      </c>
      <c r="C134">
        <v>6</v>
      </c>
      <c r="D134">
        <v>20190723</v>
      </c>
      <c r="E134" t="s">
        <v>17</v>
      </c>
      <c r="F134">
        <v>2899.9445999999998</v>
      </c>
      <c r="G134">
        <v>2886.9043999999999</v>
      </c>
      <c r="H134">
        <v>2901.3591000000001</v>
      </c>
      <c r="I134">
        <v>2883.0457000000001</v>
      </c>
      <c r="J134">
        <v>2886.9740000000002</v>
      </c>
      <c r="K134">
        <v>12.970599999999999</v>
      </c>
      <c r="L134">
        <v>0.44929999999999998</v>
      </c>
      <c r="M134">
        <v>129310508</v>
      </c>
      <c r="N134">
        <v>148077349.30000001</v>
      </c>
      <c r="O134">
        <v>145</v>
      </c>
      <c r="P134">
        <v>17</v>
      </c>
      <c r="Q134">
        <v>8.5294117650000008</v>
      </c>
      <c r="R134">
        <v>1.0298376849999999</v>
      </c>
    </row>
    <row r="135" spans="1:18" x14ac:dyDescent="0.2">
      <c r="A135">
        <v>135</v>
      </c>
      <c r="B135">
        <v>45</v>
      </c>
      <c r="C135">
        <v>0</v>
      </c>
      <c r="D135">
        <v>20190724</v>
      </c>
      <c r="E135" t="s">
        <v>17</v>
      </c>
      <c r="F135">
        <v>2923.2775000000001</v>
      </c>
      <c r="G135">
        <v>2907.9274999999998</v>
      </c>
      <c r="H135">
        <v>2936.4522000000002</v>
      </c>
      <c r="I135">
        <v>2907.7865000000002</v>
      </c>
      <c r="J135">
        <v>2899.9445999999998</v>
      </c>
      <c r="K135">
        <v>23.332899999999999</v>
      </c>
      <c r="L135">
        <v>0.80459999999999998</v>
      </c>
      <c r="M135">
        <v>155245762</v>
      </c>
      <c r="N135">
        <v>178858104</v>
      </c>
      <c r="O135">
        <v>122</v>
      </c>
      <c r="P135">
        <v>1</v>
      </c>
      <c r="Q135">
        <v>122</v>
      </c>
      <c r="R135">
        <v>1.0095246229999999</v>
      </c>
    </row>
    <row r="136" spans="1:18" x14ac:dyDescent="0.2">
      <c r="A136">
        <v>136</v>
      </c>
      <c r="B136">
        <v>32</v>
      </c>
      <c r="C136">
        <v>0</v>
      </c>
      <c r="D136">
        <v>20190725</v>
      </c>
      <c r="E136" t="s">
        <v>17</v>
      </c>
      <c r="F136">
        <v>2937.3600999999999</v>
      </c>
      <c r="G136">
        <v>2923.1886</v>
      </c>
      <c r="H136">
        <v>2937.3600999999999</v>
      </c>
      <c r="I136">
        <v>2916.1498000000001</v>
      </c>
      <c r="J136">
        <v>2923.2775000000001</v>
      </c>
      <c r="K136">
        <v>14.082599999999999</v>
      </c>
      <c r="L136">
        <v>0.48170000000000002</v>
      </c>
      <c r="M136">
        <v>145684385</v>
      </c>
      <c r="N136">
        <v>175356381.69999999</v>
      </c>
      <c r="O136">
        <v>93</v>
      </c>
      <c r="P136">
        <v>16</v>
      </c>
      <c r="Q136">
        <v>5.8125</v>
      </c>
      <c r="R136">
        <v>0.99083947299999997</v>
      </c>
    </row>
    <row r="137" spans="1:18" x14ac:dyDescent="0.2">
      <c r="A137">
        <v>137</v>
      </c>
      <c r="B137">
        <v>33</v>
      </c>
      <c r="C137">
        <v>5</v>
      </c>
      <c r="D137">
        <v>20190726</v>
      </c>
      <c r="E137" t="s">
        <v>17</v>
      </c>
      <c r="F137">
        <v>2944.5410000000002</v>
      </c>
      <c r="G137">
        <v>2928.0614</v>
      </c>
      <c r="H137">
        <v>2948.3261000000002</v>
      </c>
      <c r="I137">
        <v>2924.4513000000002</v>
      </c>
      <c r="J137">
        <v>2937.3600999999999</v>
      </c>
      <c r="K137">
        <v>7.1809000000000003</v>
      </c>
      <c r="L137">
        <v>0.2445</v>
      </c>
      <c r="M137">
        <v>139343388</v>
      </c>
      <c r="N137">
        <v>158774666.09999999</v>
      </c>
      <c r="O137">
        <v>66</v>
      </c>
      <c r="P137">
        <v>35</v>
      </c>
      <c r="Q137">
        <v>1.885714286</v>
      </c>
      <c r="R137">
        <v>0.98515309100000004</v>
      </c>
    </row>
    <row r="138" spans="1:18" x14ac:dyDescent="0.2">
      <c r="A138">
        <v>138</v>
      </c>
      <c r="B138">
        <v>29</v>
      </c>
      <c r="C138">
        <v>3</v>
      </c>
      <c r="D138">
        <v>20190729</v>
      </c>
      <c r="E138" t="s">
        <v>17</v>
      </c>
      <c r="F138">
        <v>2941.0070000000001</v>
      </c>
      <c r="G138">
        <v>2943.9180000000001</v>
      </c>
      <c r="H138">
        <v>2948.4665</v>
      </c>
      <c r="I138">
        <v>2932.9773</v>
      </c>
      <c r="J138">
        <v>2944.5410000000002</v>
      </c>
      <c r="K138">
        <v>-3.5339999999999998</v>
      </c>
      <c r="L138">
        <v>-0.12</v>
      </c>
      <c r="M138">
        <v>127991846</v>
      </c>
      <c r="N138">
        <v>147439134.5</v>
      </c>
      <c r="O138">
        <v>77</v>
      </c>
      <c r="P138">
        <v>11</v>
      </c>
      <c r="Q138">
        <v>7</v>
      </c>
      <c r="R138">
        <v>0.993301773</v>
      </c>
    </row>
    <row r="139" spans="1:18" x14ac:dyDescent="0.2">
      <c r="A139">
        <v>139</v>
      </c>
      <c r="B139">
        <v>35</v>
      </c>
      <c r="C139">
        <v>3</v>
      </c>
      <c r="D139">
        <v>20190730</v>
      </c>
      <c r="E139" t="s">
        <v>17</v>
      </c>
      <c r="F139">
        <v>2952.3382999999999</v>
      </c>
      <c r="G139">
        <v>2946.2566000000002</v>
      </c>
      <c r="H139">
        <v>2965.6320000000001</v>
      </c>
      <c r="I139">
        <v>2946.2566000000002</v>
      </c>
      <c r="J139">
        <v>2941.0070000000001</v>
      </c>
      <c r="K139">
        <v>11.331300000000001</v>
      </c>
      <c r="L139">
        <v>0.38529999999999998</v>
      </c>
      <c r="M139">
        <v>148316462</v>
      </c>
      <c r="N139">
        <v>170866349.90000001</v>
      </c>
      <c r="O139">
        <v>82</v>
      </c>
      <c r="P139">
        <v>7</v>
      </c>
      <c r="Q139">
        <v>11.71428571</v>
      </c>
      <c r="R139">
        <v>0.99154247100000004</v>
      </c>
    </row>
    <row r="140" spans="1:18" x14ac:dyDescent="0.2">
      <c r="A140">
        <v>140</v>
      </c>
      <c r="B140">
        <v>29</v>
      </c>
      <c r="C140">
        <v>5</v>
      </c>
      <c r="D140">
        <v>20190731</v>
      </c>
      <c r="E140" t="s">
        <v>17</v>
      </c>
      <c r="F140">
        <v>2932.5057999999999</v>
      </c>
      <c r="G140">
        <v>2944.3977</v>
      </c>
      <c r="H140">
        <v>2944.3977</v>
      </c>
      <c r="I140">
        <v>2926.4852999999998</v>
      </c>
      <c r="J140">
        <v>2952.3382999999999</v>
      </c>
      <c r="K140">
        <v>-19.8325</v>
      </c>
      <c r="L140">
        <v>-0.67179999999999995</v>
      </c>
      <c r="M140">
        <v>141052348</v>
      </c>
      <c r="N140">
        <v>164607873.5</v>
      </c>
      <c r="O140">
        <v>63</v>
      </c>
      <c r="P140">
        <v>27</v>
      </c>
      <c r="Q140">
        <v>2.3333333330000001</v>
      </c>
      <c r="R140">
        <v>0.980277913</v>
      </c>
    </row>
    <row r="141" spans="1:18" x14ac:dyDescent="0.2">
      <c r="A141">
        <v>141</v>
      </c>
      <c r="B141">
        <v>28</v>
      </c>
      <c r="C141">
        <v>4</v>
      </c>
      <c r="D141">
        <v>20190801</v>
      </c>
      <c r="E141" t="s">
        <v>17</v>
      </c>
      <c r="F141">
        <v>2908.7660000000001</v>
      </c>
      <c r="G141">
        <v>2920.8506000000002</v>
      </c>
      <c r="H141">
        <v>2927.3420999999998</v>
      </c>
      <c r="I141">
        <v>2901.7503000000002</v>
      </c>
      <c r="J141">
        <v>2932.5057999999999</v>
      </c>
      <c r="K141">
        <v>-23.739799999999999</v>
      </c>
      <c r="L141">
        <v>-0.8095</v>
      </c>
      <c r="M141">
        <v>142389813</v>
      </c>
      <c r="N141">
        <v>171115635.69999999</v>
      </c>
      <c r="O141">
        <v>76</v>
      </c>
      <c r="P141">
        <v>33</v>
      </c>
      <c r="Q141">
        <v>2.3030303029999999</v>
      </c>
      <c r="R141">
        <v>1.0361450679999999</v>
      </c>
    </row>
    <row r="142" spans="1:18" x14ac:dyDescent="0.2">
      <c r="A142">
        <v>142</v>
      </c>
      <c r="B142">
        <v>24</v>
      </c>
      <c r="C142">
        <v>3</v>
      </c>
      <c r="D142">
        <v>20190802</v>
      </c>
      <c r="E142" t="s">
        <v>17</v>
      </c>
      <c r="F142">
        <v>2867.8375999999998</v>
      </c>
      <c r="G142">
        <v>2861.3323</v>
      </c>
      <c r="H142">
        <v>2872.473</v>
      </c>
      <c r="I142">
        <v>2851.4402</v>
      </c>
      <c r="J142">
        <v>2908.7660000000001</v>
      </c>
      <c r="K142">
        <v>-40.928400000000003</v>
      </c>
      <c r="L142">
        <v>-1.4071</v>
      </c>
      <c r="M142">
        <v>184888443</v>
      </c>
      <c r="N142">
        <v>216327400.59999999</v>
      </c>
      <c r="O142">
        <v>64</v>
      </c>
      <c r="P142">
        <v>64</v>
      </c>
      <c r="Q142">
        <v>1</v>
      </c>
      <c r="R142">
        <v>1.0251167370000001</v>
      </c>
    </row>
    <row r="143" spans="1:18" x14ac:dyDescent="0.2">
      <c r="A143">
        <v>143</v>
      </c>
      <c r="B143">
        <v>38</v>
      </c>
      <c r="C143">
        <v>8</v>
      </c>
      <c r="D143">
        <v>20190805</v>
      </c>
      <c r="E143" t="s">
        <v>17</v>
      </c>
      <c r="F143">
        <v>2821.4956999999999</v>
      </c>
      <c r="G143">
        <v>2854.578</v>
      </c>
      <c r="H143">
        <v>2863.6891000000001</v>
      </c>
      <c r="I143">
        <v>2821.4956999999999</v>
      </c>
      <c r="J143">
        <v>2867.8375999999998</v>
      </c>
      <c r="K143">
        <v>-46.341900000000003</v>
      </c>
      <c r="L143">
        <v>-1.6158999999999999</v>
      </c>
      <c r="M143">
        <v>167419423</v>
      </c>
      <c r="N143">
        <v>196891483.09999999</v>
      </c>
      <c r="O143">
        <v>68</v>
      </c>
      <c r="P143">
        <v>50</v>
      </c>
      <c r="Q143">
        <v>1.36</v>
      </c>
      <c r="R143">
        <v>1.0215672179999999</v>
      </c>
    </row>
    <row r="144" spans="1:18" x14ac:dyDescent="0.2">
      <c r="A144">
        <v>144</v>
      </c>
      <c r="B144">
        <v>25</v>
      </c>
      <c r="C144">
        <v>10</v>
      </c>
      <c r="D144">
        <v>20190806</v>
      </c>
      <c r="E144" t="s">
        <v>17</v>
      </c>
      <c r="F144">
        <v>2777.5558999999998</v>
      </c>
      <c r="G144">
        <v>2776.9888999999998</v>
      </c>
      <c r="H144">
        <v>2787.4185000000002</v>
      </c>
      <c r="I144">
        <v>2733.9241999999999</v>
      </c>
      <c r="J144">
        <v>2821.4956999999999</v>
      </c>
      <c r="K144">
        <v>-43.939799999999998</v>
      </c>
      <c r="L144">
        <v>-1.5572999999999999</v>
      </c>
      <c r="M144">
        <v>231123727</v>
      </c>
      <c r="N144">
        <v>255209231.19999999</v>
      </c>
      <c r="O144">
        <v>54</v>
      </c>
      <c r="P144">
        <v>551</v>
      </c>
      <c r="Q144">
        <v>9.8003629999999994E-2</v>
      </c>
      <c r="R144">
        <v>1.0087060379999999</v>
      </c>
    </row>
    <row r="145" spans="1:18" x14ac:dyDescent="0.2">
      <c r="A145">
        <v>145</v>
      </c>
      <c r="B145">
        <v>35</v>
      </c>
      <c r="C145">
        <v>15</v>
      </c>
      <c r="D145">
        <v>20190807</v>
      </c>
      <c r="E145" t="s">
        <v>17</v>
      </c>
      <c r="F145">
        <v>2768.6795000000002</v>
      </c>
      <c r="G145">
        <v>2789.0187000000001</v>
      </c>
      <c r="H145">
        <v>2792.6934000000001</v>
      </c>
      <c r="I145">
        <v>2768.6795000000002</v>
      </c>
      <c r="J145">
        <v>2777.5558999999998</v>
      </c>
      <c r="K145">
        <v>-8.8764000000000003</v>
      </c>
      <c r="L145">
        <v>-0.3196</v>
      </c>
      <c r="M145">
        <v>157716752</v>
      </c>
      <c r="N145">
        <v>176475728.40000001</v>
      </c>
      <c r="O145">
        <v>103</v>
      </c>
      <c r="P145">
        <v>71</v>
      </c>
      <c r="Q145">
        <v>1.450704225</v>
      </c>
      <c r="R145">
        <v>0.95363018600000005</v>
      </c>
    </row>
    <row r="146" spans="1:18" x14ac:dyDescent="0.2">
      <c r="A146">
        <v>146</v>
      </c>
      <c r="B146">
        <v>36</v>
      </c>
      <c r="C146">
        <v>11</v>
      </c>
      <c r="D146">
        <v>20190808</v>
      </c>
      <c r="E146" t="s">
        <v>17</v>
      </c>
      <c r="F146">
        <v>2794.5522999999998</v>
      </c>
      <c r="G146">
        <v>2784.1835000000001</v>
      </c>
      <c r="H146">
        <v>2799.6858999999999</v>
      </c>
      <c r="I146">
        <v>2782.2447000000002</v>
      </c>
      <c r="J146">
        <v>2768.6795000000002</v>
      </c>
      <c r="K146">
        <v>25.872800000000002</v>
      </c>
      <c r="L146">
        <v>0.9345</v>
      </c>
      <c r="M146">
        <v>149539564</v>
      </c>
      <c r="N146">
        <v>178156148.40000001</v>
      </c>
      <c r="O146">
        <v>111</v>
      </c>
      <c r="P146">
        <v>52</v>
      </c>
      <c r="Q146">
        <v>2.134615385</v>
      </c>
      <c r="R146">
        <v>0.98627880000000001</v>
      </c>
    </row>
    <row r="147" spans="1:18" x14ac:dyDescent="0.2">
      <c r="A147">
        <v>147</v>
      </c>
      <c r="B147">
        <v>21</v>
      </c>
      <c r="C147">
        <v>2</v>
      </c>
      <c r="D147">
        <v>20190809</v>
      </c>
      <c r="E147" t="s">
        <v>17</v>
      </c>
      <c r="F147">
        <v>2774.7532000000001</v>
      </c>
      <c r="G147">
        <v>2805.5855999999999</v>
      </c>
      <c r="H147">
        <v>2808.3289</v>
      </c>
      <c r="I147">
        <v>2770.4776999999999</v>
      </c>
      <c r="J147">
        <v>2794.5522999999998</v>
      </c>
      <c r="K147">
        <v>-19.799099999999999</v>
      </c>
      <c r="L147">
        <v>-0.70850000000000002</v>
      </c>
      <c r="M147">
        <v>148240293</v>
      </c>
      <c r="N147">
        <v>171140338.80000001</v>
      </c>
      <c r="O147">
        <v>44</v>
      </c>
      <c r="P147">
        <v>74</v>
      </c>
      <c r="Q147">
        <v>0.594594595</v>
      </c>
      <c r="R147">
        <v>0.97777139000000002</v>
      </c>
    </row>
    <row r="148" spans="1:18" x14ac:dyDescent="0.2">
      <c r="A148">
        <v>148</v>
      </c>
      <c r="B148">
        <v>47</v>
      </c>
      <c r="C148">
        <v>2</v>
      </c>
      <c r="D148">
        <v>20190812</v>
      </c>
      <c r="E148" t="s">
        <v>17</v>
      </c>
      <c r="F148">
        <v>2814.9944</v>
      </c>
      <c r="G148">
        <v>2781.9816000000001</v>
      </c>
      <c r="H148">
        <v>2814.9944</v>
      </c>
      <c r="I148">
        <v>2776.6197000000002</v>
      </c>
      <c r="J148">
        <v>2774.7532000000001</v>
      </c>
      <c r="K148">
        <v>40.241199999999999</v>
      </c>
      <c r="L148">
        <v>1.4502999999999999</v>
      </c>
      <c r="M148">
        <v>131563433</v>
      </c>
      <c r="N148">
        <v>162523259.80000001</v>
      </c>
      <c r="O148">
        <v>200</v>
      </c>
      <c r="P148">
        <v>12</v>
      </c>
      <c r="Q148">
        <v>16.666666670000001</v>
      </c>
      <c r="R148">
        <v>1.009700853</v>
      </c>
    </row>
    <row r="149" spans="1:18" x14ac:dyDescent="0.2">
      <c r="A149">
        <v>149</v>
      </c>
      <c r="B149">
        <v>25</v>
      </c>
      <c r="C149">
        <v>3</v>
      </c>
      <c r="D149">
        <v>20190813</v>
      </c>
      <c r="E149" t="s">
        <v>17</v>
      </c>
      <c r="F149">
        <v>2797.2595999999999</v>
      </c>
      <c r="G149">
        <v>2798.0511999999999</v>
      </c>
      <c r="H149">
        <v>2802.0414999999998</v>
      </c>
      <c r="I149">
        <v>2790.6080000000002</v>
      </c>
      <c r="J149">
        <v>2814.9944</v>
      </c>
      <c r="K149">
        <v>-17.7348</v>
      </c>
      <c r="L149">
        <v>-0.63</v>
      </c>
      <c r="M149">
        <v>130916505</v>
      </c>
      <c r="N149">
        <v>153957510.59999999</v>
      </c>
      <c r="O149">
        <v>64</v>
      </c>
      <c r="P149">
        <v>23</v>
      </c>
      <c r="Q149">
        <v>2.782608696</v>
      </c>
      <c r="R149">
        <v>1.0069789419999999</v>
      </c>
    </row>
    <row r="150" spans="1:18" x14ac:dyDescent="0.2">
      <c r="A150">
        <v>150</v>
      </c>
      <c r="B150">
        <v>42</v>
      </c>
      <c r="C150">
        <v>4</v>
      </c>
      <c r="D150">
        <v>20190814</v>
      </c>
      <c r="E150" t="s">
        <v>17</v>
      </c>
      <c r="F150">
        <v>2808.9146000000001</v>
      </c>
      <c r="G150">
        <v>2824.4863999999998</v>
      </c>
      <c r="H150">
        <v>2829.8906000000002</v>
      </c>
      <c r="I150">
        <v>2807.7190000000001</v>
      </c>
      <c r="J150">
        <v>2797.2595999999999</v>
      </c>
      <c r="K150">
        <v>11.654999999999999</v>
      </c>
      <c r="L150">
        <v>0.41670000000000001</v>
      </c>
      <c r="M150">
        <v>144014641</v>
      </c>
      <c r="N150">
        <v>173944883.30000001</v>
      </c>
      <c r="O150">
        <v>99</v>
      </c>
      <c r="P150">
        <v>10</v>
      </c>
      <c r="Q150">
        <v>9.9</v>
      </c>
      <c r="R150">
        <v>0.97771315800000003</v>
      </c>
    </row>
    <row r="151" spans="1:18" x14ac:dyDescent="0.2">
      <c r="A151">
        <v>151</v>
      </c>
      <c r="B151">
        <v>36</v>
      </c>
      <c r="C151">
        <v>4</v>
      </c>
      <c r="D151">
        <v>20190815</v>
      </c>
      <c r="E151" t="s">
        <v>17</v>
      </c>
      <c r="F151">
        <v>2815.7975999999999</v>
      </c>
      <c r="G151">
        <v>2762.3389999999999</v>
      </c>
      <c r="H151">
        <v>2815.8964000000001</v>
      </c>
      <c r="I151">
        <v>2756.8341</v>
      </c>
      <c r="J151">
        <v>2808.9146000000001</v>
      </c>
      <c r="K151">
        <v>6.883</v>
      </c>
      <c r="L151">
        <v>0.245</v>
      </c>
      <c r="M151">
        <v>152772152</v>
      </c>
      <c r="N151">
        <v>173670539.19999999</v>
      </c>
      <c r="O151">
        <v>120</v>
      </c>
      <c r="P151">
        <v>5</v>
      </c>
      <c r="Q151">
        <v>24</v>
      </c>
      <c r="R151">
        <v>1.0423989739999999</v>
      </c>
    </row>
    <row r="152" spans="1:18" x14ac:dyDescent="0.2">
      <c r="A152">
        <v>152</v>
      </c>
      <c r="B152">
        <v>43</v>
      </c>
      <c r="C152">
        <v>5</v>
      </c>
      <c r="D152">
        <v>20190816</v>
      </c>
      <c r="E152" t="s">
        <v>17</v>
      </c>
      <c r="F152">
        <v>2823.8238000000001</v>
      </c>
      <c r="G152">
        <v>2817.5708</v>
      </c>
      <c r="H152">
        <v>2840.3164000000002</v>
      </c>
      <c r="I152">
        <v>2811.8015999999998</v>
      </c>
      <c r="J152">
        <v>2815.7975999999999</v>
      </c>
      <c r="K152">
        <v>8.0261999999999993</v>
      </c>
      <c r="L152">
        <v>0.28499999999999998</v>
      </c>
      <c r="M152">
        <v>148582344</v>
      </c>
      <c r="N152">
        <v>186139370.30000001</v>
      </c>
      <c r="O152">
        <v>111</v>
      </c>
      <c r="P152">
        <v>13</v>
      </c>
      <c r="Q152">
        <v>8.538461538</v>
      </c>
      <c r="R152">
        <v>0.98886278299999997</v>
      </c>
    </row>
    <row r="153" spans="1:18" x14ac:dyDescent="0.2">
      <c r="A153">
        <v>153</v>
      </c>
      <c r="B153">
        <v>106</v>
      </c>
      <c r="C153">
        <v>2</v>
      </c>
      <c r="D153">
        <v>20190819</v>
      </c>
      <c r="E153" t="s">
        <v>17</v>
      </c>
      <c r="F153">
        <v>2883.096</v>
      </c>
      <c r="G153">
        <v>2835.5180999999998</v>
      </c>
      <c r="H153">
        <v>2883.096</v>
      </c>
      <c r="I153">
        <v>2829.8542000000002</v>
      </c>
      <c r="J153">
        <v>2823.8238000000001</v>
      </c>
      <c r="K153">
        <v>59.272199999999998</v>
      </c>
      <c r="L153">
        <v>2.0990000000000002</v>
      </c>
      <c r="M153">
        <v>214546668</v>
      </c>
      <c r="N153">
        <v>247092216.30000001</v>
      </c>
      <c r="O153">
        <v>442</v>
      </c>
      <c r="P153">
        <v>7</v>
      </c>
      <c r="Q153">
        <v>63.142857139999997</v>
      </c>
      <c r="R153">
        <v>1.0111274429999999</v>
      </c>
    </row>
    <row r="154" spans="1:18" x14ac:dyDescent="0.2">
      <c r="A154">
        <v>154</v>
      </c>
      <c r="B154">
        <v>57</v>
      </c>
      <c r="C154">
        <v>2</v>
      </c>
      <c r="D154">
        <v>20190820</v>
      </c>
      <c r="E154" t="s">
        <v>17</v>
      </c>
      <c r="F154">
        <v>2880.0012000000002</v>
      </c>
      <c r="G154">
        <v>2879.0816</v>
      </c>
      <c r="H154">
        <v>2892.0796</v>
      </c>
      <c r="I154">
        <v>2874.9987999999998</v>
      </c>
      <c r="J154">
        <v>2883.096</v>
      </c>
      <c r="K154">
        <v>-3.0948000000000002</v>
      </c>
      <c r="L154">
        <v>-0.10730000000000001</v>
      </c>
      <c r="M154">
        <v>189677206</v>
      </c>
      <c r="N154">
        <v>209774344.40000001</v>
      </c>
      <c r="O154">
        <v>120</v>
      </c>
      <c r="P154">
        <v>15</v>
      </c>
      <c r="Q154">
        <v>8</v>
      </c>
      <c r="R154">
        <v>0.98781600000000003</v>
      </c>
    </row>
    <row r="155" spans="1:18" x14ac:dyDescent="0.2">
      <c r="A155">
        <v>155</v>
      </c>
      <c r="B155">
        <v>39</v>
      </c>
      <c r="C155">
        <v>1</v>
      </c>
      <c r="D155">
        <v>20190821</v>
      </c>
      <c r="E155" t="s">
        <v>17</v>
      </c>
      <c r="F155">
        <v>2880.3307</v>
      </c>
      <c r="G155">
        <v>2875.4708000000001</v>
      </c>
      <c r="H155">
        <v>2885.5861</v>
      </c>
      <c r="I155">
        <v>2872.5572999999999</v>
      </c>
      <c r="J155">
        <v>2880.0012000000002</v>
      </c>
      <c r="K155">
        <v>0.32950000000000002</v>
      </c>
      <c r="L155">
        <v>1.14E-2</v>
      </c>
      <c r="M155">
        <v>159019665</v>
      </c>
      <c r="N155">
        <v>183187275.19999999</v>
      </c>
      <c r="O155">
        <v>104</v>
      </c>
      <c r="P155">
        <v>45</v>
      </c>
      <c r="Q155">
        <v>2.3111111110000002</v>
      </c>
      <c r="R155">
        <v>0.98673711099999994</v>
      </c>
    </row>
    <row r="156" spans="1:18" x14ac:dyDescent="0.2">
      <c r="A156">
        <v>156</v>
      </c>
      <c r="B156">
        <v>50</v>
      </c>
      <c r="C156">
        <v>1</v>
      </c>
      <c r="D156">
        <v>20190822</v>
      </c>
      <c r="E156" t="s">
        <v>17</v>
      </c>
      <c r="F156">
        <v>2883.4358000000002</v>
      </c>
      <c r="G156">
        <v>2887.6649000000002</v>
      </c>
      <c r="H156">
        <v>2888.4969000000001</v>
      </c>
      <c r="I156">
        <v>2867.5522000000001</v>
      </c>
      <c r="J156">
        <v>2880.3307</v>
      </c>
      <c r="K156">
        <v>3.1051000000000002</v>
      </c>
      <c r="L156">
        <v>0.10780000000000001</v>
      </c>
      <c r="M156">
        <v>149206215</v>
      </c>
      <c r="N156">
        <v>169662167.19999999</v>
      </c>
      <c r="O156">
        <v>106</v>
      </c>
      <c r="P156">
        <v>16</v>
      </c>
      <c r="Q156">
        <v>6.625</v>
      </c>
      <c r="R156">
        <v>0.99286406800000004</v>
      </c>
    </row>
    <row r="157" spans="1:18" x14ac:dyDescent="0.2">
      <c r="A157">
        <v>157</v>
      </c>
      <c r="B157">
        <v>47</v>
      </c>
      <c r="C157">
        <v>3</v>
      </c>
      <c r="D157">
        <v>20190823</v>
      </c>
      <c r="E157" t="s">
        <v>17</v>
      </c>
      <c r="F157">
        <v>2897.4252999999999</v>
      </c>
      <c r="G157">
        <v>2885.1509999999998</v>
      </c>
      <c r="H157">
        <v>2902.4562999999998</v>
      </c>
      <c r="I157">
        <v>2878.7442999999998</v>
      </c>
      <c r="J157">
        <v>2883.4358000000002</v>
      </c>
      <c r="K157">
        <v>13.9895</v>
      </c>
      <c r="L157">
        <v>0.48520000000000002</v>
      </c>
      <c r="M157">
        <v>159156826</v>
      </c>
      <c r="N157">
        <v>192567132.69999999</v>
      </c>
      <c r="O157">
        <v>97</v>
      </c>
      <c r="P157">
        <v>53</v>
      </c>
      <c r="Q157">
        <v>1.8301886789999999</v>
      </c>
      <c r="R157">
        <v>0.98262194999999997</v>
      </c>
    </row>
    <row r="158" spans="1:18" x14ac:dyDescent="0.2">
      <c r="A158">
        <v>158</v>
      </c>
      <c r="B158">
        <v>41</v>
      </c>
      <c r="C158">
        <v>3</v>
      </c>
      <c r="D158">
        <v>20190826</v>
      </c>
      <c r="E158" t="s">
        <v>17</v>
      </c>
      <c r="F158">
        <v>2863.5673000000002</v>
      </c>
      <c r="G158">
        <v>2851.0158000000001</v>
      </c>
      <c r="H158">
        <v>2870.4938999999999</v>
      </c>
      <c r="I158">
        <v>2849.2381</v>
      </c>
      <c r="J158">
        <v>2897.4252999999999</v>
      </c>
      <c r="K158">
        <v>-33.857999999999997</v>
      </c>
      <c r="L158">
        <v>-1.1686000000000001</v>
      </c>
      <c r="M158">
        <v>169895363</v>
      </c>
      <c r="N158">
        <v>191036667.90000001</v>
      </c>
      <c r="O158">
        <v>94</v>
      </c>
      <c r="P158">
        <v>39</v>
      </c>
      <c r="Q158">
        <v>2.4102564100000001</v>
      </c>
      <c r="R158">
        <v>1.030736976</v>
      </c>
    </row>
    <row r="159" spans="1:18" x14ac:dyDescent="0.2">
      <c r="A159">
        <v>159</v>
      </c>
      <c r="B159">
        <v>68</v>
      </c>
      <c r="C159">
        <v>1</v>
      </c>
      <c r="D159">
        <v>20190827</v>
      </c>
      <c r="E159" t="s">
        <v>17</v>
      </c>
      <c r="F159">
        <v>2902.1932000000002</v>
      </c>
      <c r="G159">
        <v>2879.5154000000002</v>
      </c>
      <c r="H159">
        <v>2919.6444000000001</v>
      </c>
      <c r="I159">
        <v>2879.4059999999999</v>
      </c>
      <c r="J159">
        <v>2863.5673000000002</v>
      </c>
      <c r="K159">
        <v>38.625900000000001</v>
      </c>
      <c r="L159">
        <v>1.3489</v>
      </c>
      <c r="M159">
        <v>208141794</v>
      </c>
      <c r="N159">
        <v>230999692.90000001</v>
      </c>
      <c r="O159">
        <v>177</v>
      </c>
      <c r="P159">
        <v>4</v>
      </c>
      <c r="Q159">
        <v>44.25</v>
      </c>
      <c r="R159">
        <v>1.000145305</v>
      </c>
    </row>
    <row r="160" spans="1:18" x14ac:dyDescent="0.2">
      <c r="A160">
        <v>160</v>
      </c>
      <c r="B160">
        <v>61</v>
      </c>
      <c r="C160">
        <v>4</v>
      </c>
      <c r="D160">
        <v>20190828</v>
      </c>
      <c r="E160" t="s">
        <v>17</v>
      </c>
      <c r="F160">
        <v>2893.7564000000002</v>
      </c>
      <c r="G160">
        <v>2901.6266999999998</v>
      </c>
      <c r="H160">
        <v>2905.4353999999998</v>
      </c>
      <c r="I160">
        <v>2887.0115000000001</v>
      </c>
      <c r="J160">
        <v>2902.1932000000002</v>
      </c>
      <c r="K160">
        <v>-8.4367999999999999</v>
      </c>
      <c r="L160">
        <v>-0.29070000000000001</v>
      </c>
      <c r="M160">
        <v>183097903</v>
      </c>
      <c r="N160">
        <v>201805050.59999999</v>
      </c>
      <c r="O160">
        <v>108</v>
      </c>
      <c r="P160">
        <v>60</v>
      </c>
      <c r="Q160">
        <v>1.8</v>
      </c>
      <c r="R160">
        <v>0.99183713100000004</v>
      </c>
    </row>
    <row r="161" spans="1:18" x14ac:dyDescent="0.2">
      <c r="A161">
        <v>161</v>
      </c>
      <c r="B161">
        <v>47</v>
      </c>
      <c r="C161">
        <v>3</v>
      </c>
      <c r="D161">
        <v>20190829</v>
      </c>
      <c r="E161" t="s">
        <v>17</v>
      </c>
      <c r="F161">
        <v>2890.9191999999998</v>
      </c>
      <c r="G161">
        <v>2895.9991</v>
      </c>
      <c r="H161">
        <v>2898.6046000000001</v>
      </c>
      <c r="I161">
        <v>2878.5877999999998</v>
      </c>
      <c r="J161">
        <v>2893.7564000000002</v>
      </c>
      <c r="K161">
        <v>-2.8372000000000002</v>
      </c>
      <c r="L161">
        <v>-9.8000000000000004E-2</v>
      </c>
      <c r="M161">
        <v>178613082</v>
      </c>
      <c r="N161">
        <v>196332770.5</v>
      </c>
      <c r="O161">
        <v>113</v>
      </c>
      <c r="P161">
        <v>23</v>
      </c>
      <c r="Q161">
        <v>4.9130434779999996</v>
      </c>
      <c r="R161">
        <v>0.97668683199999995</v>
      </c>
    </row>
    <row r="162" spans="1:18" x14ac:dyDescent="0.2">
      <c r="A162">
        <v>162</v>
      </c>
      <c r="B162">
        <v>37</v>
      </c>
      <c r="C162">
        <v>20</v>
      </c>
      <c r="D162">
        <v>20190830</v>
      </c>
      <c r="E162" t="s">
        <v>17</v>
      </c>
      <c r="F162">
        <v>2886.2365</v>
      </c>
      <c r="G162">
        <v>2907.3825000000002</v>
      </c>
      <c r="H162">
        <v>2914.5767000000001</v>
      </c>
      <c r="I162">
        <v>2874.1028000000001</v>
      </c>
      <c r="J162">
        <v>2890.9191999999998</v>
      </c>
      <c r="K162">
        <v>-4.6826999999999996</v>
      </c>
      <c r="L162">
        <v>-0.16200000000000001</v>
      </c>
      <c r="M162">
        <v>193959951</v>
      </c>
      <c r="N162">
        <v>224751169.90000001</v>
      </c>
      <c r="O162">
        <v>69</v>
      </c>
      <c r="P162">
        <v>144</v>
      </c>
      <c r="Q162">
        <v>0.47916666699999999</v>
      </c>
      <c r="R162">
        <v>0.97134495899999995</v>
      </c>
    </row>
    <row r="163" spans="1:18" x14ac:dyDescent="0.2">
      <c r="A163">
        <v>163</v>
      </c>
      <c r="B163">
        <v>84</v>
      </c>
      <c r="C163">
        <v>2</v>
      </c>
      <c r="D163">
        <v>20190902</v>
      </c>
      <c r="E163" t="s">
        <v>17</v>
      </c>
      <c r="F163">
        <v>2924.1062999999999</v>
      </c>
      <c r="G163">
        <v>2886.9418000000001</v>
      </c>
      <c r="H163">
        <v>2928.4793</v>
      </c>
      <c r="I163">
        <v>2883.6822999999999</v>
      </c>
      <c r="J163">
        <v>2886.2365</v>
      </c>
      <c r="K163">
        <v>37.869799999999998</v>
      </c>
      <c r="L163">
        <v>1.3121</v>
      </c>
      <c r="M163">
        <v>202786807</v>
      </c>
      <c r="N163">
        <v>226043693.30000001</v>
      </c>
      <c r="O163">
        <v>305</v>
      </c>
      <c r="P163">
        <v>6</v>
      </c>
      <c r="Q163">
        <v>50.833333330000002</v>
      </c>
      <c r="R163">
        <v>1.0201758359999999</v>
      </c>
    </row>
    <row r="164" spans="1:18" x14ac:dyDescent="0.2">
      <c r="A164">
        <v>164</v>
      </c>
      <c r="B164">
        <v>55</v>
      </c>
      <c r="C164">
        <v>5</v>
      </c>
      <c r="D164">
        <v>20190903</v>
      </c>
      <c r="E164" t="s">
        <v>17</v>
      </c>
      <c r="F164">
        <v>2930.1538</v>
      </c>
      <c r="G164">
        <v>2925.9422</v>
      </c>
      <c r="H164">
        <v>2930.1538</v>
      </c>
      <c r="I164">
        <v>2915.1974</v>
      </c>
      <c r="J164">
        <v>2924.1062999999999</v>
      </c>
      <c r="K164">
        <v>6.0475000000000003</v>
      </c>
      <c r="L164">
        <v>0.20680000000000001</v>
      </c>
      <c r="M164">
        <v>189001216</v>
      </c>
      <c r="N164">
        <v>225070157.30000001</v>
      </c>
      <c r="O164">
        <v>155</v>
      </c>
      <c r="P164">
        <v>9</v>
      </c>
      <c r="Q164">
        <v>17.222222219999999</v>
      </c>
      <c r="R164">
        <v>1.0028402869999999</v>
      </c>
    </row>
    <row r="165" spans="1:18" x14ac:dyDescent="0.2">
      <c r="A165">
        <v>165</v>
      </c>
      <c r="B165">
        <v>57</v>
      </c>
      <c r="C165">
        <v>3</v>
      </c>
      <c r="D165">
        <v>20190904</v>
      </c>
      <c r="E165" t="s">
        <v>17</v>
      </c>
      <c r="F165">
        <v>2957.4115999999999</v>
      </c>
      <c r="G165">
        <v>2927.7469999999998</v>
      </c>
      <c r="H165">
        <v>2957.4115999999999</v>
      </c>
      <c r="I165">
        <v>2925.8825000000002</v>
      </c>
      <c r="J165">
        <v>2930.1538</v>
      </c>
      <c r="K165">
        <v>27.2578</v>
      </c>
      <c r="L165">
        <v>0.93030000000000002</v>
      </c>
      <c r="M165">
        <v>225495907</v>
      </c>
      <c r="N165">
        <v>251212694</v>
      </c>
      <c r="O165">
        <v>138</v>
      </c>
      <c r="P165">
        <v>18</v>
      </c>
      <c r="Q165">
        <v>7.6666666670000003</v>
      </c>
      <c r="R165">
        <v>0.99275231399999997</v>
      </c>
    </row>
    <row r="166" spans="1:18" x14ac:dyDescent="0.2">
      <c r="A166">
        <v>166</v>
      </c>
      <c r="B166">
        <v>60</v>
      </c>
      <c r="C166">
        <v>2</v>
      </c>
      <c r="D166">
        <v>20190905</v>
      </c>
      <c r="E166" t="s">
        <v>17</v>
      </c>
      <c r="F166">
        <v>2985.8647999999998</v>
      </c>
      <c r="G166">
        <v>2972.6619000000001</v>
      </c>
      <c r="H166">
        <v>3015.8443000000002</v>
      </c>
      <c r="I166">
        <v>2972.6619000000001</v>
      </c>
      <c r="J166">
        <v>2957.4115999999999</v>
      </c>
      <c r="K166">
        <v>28.453199999999999</v>
      </c>
      <c r="L166">
        <v>0.96209999999999996</v>
      </c>
      <c r="M166">
        <v>305438706</v>
      </c>
      <c r="N166">
        <v>340200666.60000002</v>
      </c>
      <c r="O166">
        <v>137</v>
      </c>
      <c r="P166">
        <v>3</v>
      </c>
      <c r="Q166">
        <v>45.666666669999998</v>
      </c>
      <c r="R166">
        <v>0.99717016599999997</v>
      </c>
    </row>
    <row r="167" spans="1:18" x14ac:dyDescent="0.2">
      <c r="A167">
        <v>167</v>
      </c>
      <c r="B167">
        <v>43</v>
      </c>
      <c r="C167">
        <v>4</v>
      </c>
      <c r="D167">
        <v>20190906</v>
      </c>
      <c r="E167" t="s">
        <v>17</v>
      </c>
      <c r="F167">
        <v>2999.6012999999998</v>
      </c>
      <c r="G167">
        <v>2996.6215999999999</v>
      </c>
      <c r="H167">
        <v>2999.9434000000001</v>
      </c>
      <c r="I167">
        <v>2981.5983000000001</v>
      </c>
      <c r="J167">
        <v>2985.8647999999998</v>
      </c>
      <c r="K167">
        <v>13.736499999999999</v>
      </c>
      <c r="L167">
        <v>0.46010000000000001</v>
      </c>
      <c r="M167">
        <v>216826035</v>
      </c>
      <c r="N167">
        <v>258318744.90000001</v>
      </c>
      <c r="O167">
        <v>118</v>
      </c>
      <c r="P167">
        <v>40</v>
      </c>
      <c r="Q167">
        <v>2.95</v>
      </c>
      <c r="R167">
        <v>0.98749874100000001</v>
      </c>
    </row>
    <row r="168" spans="1:18" x14ac:dyDescent="0.2">
      <c r="A168">
        <v>168</v>
      </c>
      <c r="B168">
        <v>90</v>
      </c>
      <c r="C168">
        <v>2</v>
      </c>
      <c r="D168">
        <v>20190909</v>
      </c>
      <c r="E168" t="s">
        <v>17</v>
      </c>
      <c r="F168">
        <v>3024.7388000000001</v>
      </c>
      <c r="G168">
        <v>3023.7779999999998</v>
      </c>
      <c r="H168">
        <v>3026.2397999999998</v>
      </c>
      <c r="I168">
        <v>3005.6949</v>
      </c>
      <c r="J168">
        <v>2999.6012999999998</v>
      </c>
      <c r="K168">
        <v>25.137499999999999</v>
      </c>
      <c r="L168">
        <v>0.83799999999999997</v>
      </c>
      <c r="M168">
        <v>243377752</v>
      </c>
      <c r="N168">
        <v>286236532.10000002</v>
      </c>
      <c r="O168">
        <v>300</v>
      </c>
      <c r="P168">
        <v>2</v>
      </c>
      <c r="Q168">
        <v>150</v>
      </c>
      <c r="R168">
        <v>1.0124856449999999</v>
      </c>
    </row>
    <row r="169" spans="1:18" x14ac:dyDescent="0.2">
      <c r="A169">
        <v>169</v>
      </c>
      <c r="B169">
        <v>57</v>
      </c>
      <c r="C169">
        <v>2</v>
      </c>
      <c r="D169">
        <v>20190910</v>
      </c>
      <c r="E169" t="s">
        <v>17</v>
      </c>
      <c r="F169">
        <v>3021.2024000000001</v>
      </c>
      <c r="G169">
        <v>3027.4103</v>
      </c>
      <c r="H169">
        <v>3027.4103</v>
      </c>
      <c r="I169">
        <v>3005.3825000000002</v>
      </c>
      <c r="J169">
        <v>3024.7388000000001</v>
      </c>
      <c r="K169">
        <v>-3.5364</v>
      </c>
      <c r="L169">
        <v>-0.1169</v>
      </c>
      <c r="M169">
        <v>240012947</v>
      </c>
      <c r="N169">
        <v>275321751.60000002</v>
      </c>
      <c r="O169">
        <v>114</v>
      </c>
      <c r="P169">
        <v>22</v>
      </c>
      <c r="Q169">
        <v>5.1818181819999998</v>
      </c>
      <c r="R169">
        <v>0.98683741000000003</v>
      </c>
    </row>
    <row r="170" spans="1:18" x14ac:dyDescent="0.2">
      <c r="A170">
        <v>170</v>
      </c>
      <c r="B170">
        <v>38</v>
      </c>
      <c r="C170">
        <v>4</v>
      </c>
      <c r="D170">
        <v>20190911</v>
      </c>
      <c r="E170" t="s">
        <v>17</v>
      </c>
      <c r="F170">
        <v>3008.8117999999999</v>
      </c>
      <c r="G170">
        <v>3029.9333999999999</v>
      </c>
      <c r="H170">
        <v>3030.5569999999998</v>
      </c>
      <c r="I170">
        <v>3004.2152000000001</v>
      </c>
      <c r="J170">
        <v>3021.2024000000001</v>
      </c>
      <c r="K170">
        <v>-12.390599999999999</v>
      </c>
      <c r="L170">
        <v>-0.41010000000000002</v>
      </c>
      <c r="M170">
        <v>229837362</v>
      </c>
      <c r="N170">
        <v>263389555</v>
      </c>
      <c r="O170">
        <v>69</v>
      </c>
      <c r="P170">
        <v>50</v>
      </c>
      <c r="Q170">
        <v>1.38</v>
      </c>
      <c r="R170">
        <v>0.97942339700000003</v>
      </c>
    </row>
    <row r="171" spans="1:18" x14ac:dyDescent="0.2">
      <c r="A171">
        <v>171</v>
      </c>
      <c r="B171">
        <v>47</v>
      </c>
      <c r="C171">
        <v>5</v>
      </c>
      <c r="D171">
        <v>20190912</v>
      </c>
      <c r="E171" t="s">
        <v>17</v>
      </c>
      <c r="F171">
        <v>3031.2350999999999</v>
      </c>
      <c r="G171">
        <v>3016.6266999999998</v>
      </c>
      <c r="H171">
        <v>3033.473</v>
      </c>
      <c r="I171">
        <v>3005.1948000000002</v>
      </c>
      <c r="J171">
        <v>3008.8117999999999</v>
      </c>
      <c r="K171">
        <v>22.423300000000001</v>
      </c>
      <c r="L171">
        <v>0.74529999999999996</v>
      </c>
      <c r="M171">
        <v>196968701</v>
      </c>
      <c r="N171">
        <v>224576025.30000001</v>
      </c>
      <c r="O171">
        <v>99</v>
      </c>
      <c r="P171">
        <v>23</v>
      </c>
      <c r="Q171">
        <v>4.3043478259999999</v>
      </c>
      <c r="R171">
        <v>0.99116188599999999</v>
      </c>
    </row>
    <row r="172" spans="1:18" x14ac:dyDescent="0.2">
      <c r="A172">
        <v>172</v>
      </c>
      <c r="B172">
        <v>46</v>
      </c>
      <c r="C172">
        <v>3</v>
      </c>
      <c r="D172">
        <v>20190916</v>
      </c>
      <c r="E172" t="s">
        <v>17</v>
      </c>
      <c r="F172">
        <v>3030.7543999999998</v>
      </c>
      <c r="G172">
        <v>3041.922</v>
      </c>
      <c r="H172">
        <v>3042.9283999999998</v>
      </c>
      <c r="I172">
        <v>3020.0495000000001</v>
      </c>
      <c r="J172">
        <v>3031.2350999999999</v>
      </c>
      <c r="K172">
        <v>-0.48070000000000002</v>
      </c>
      <c r="L172">
        <v>-1.5900000000000001E-2</v>
      </c>
      <c r="M172">
        <v>221878959</v>
      </c>
      <c r="N172">
        <v>237442265.40000001</v>
      </c>
      <c r="O172">
        <v>106</v>
      </c>
      <c r="P172">
        <v>8</v>
      </c>
      <c r="Q172">
        <v>13.25</v>
      </c>
      <c r="R172">
        <v>1.0029225770000001</v>
      </c>
    </row>
    <row r="173" spans="1:18" x14ac:dyDescent="0.2">
      <c r="A173">
        <v>173</v>
      </c>
      <c r="B173">
        <v>33</v>
      </c>
      <c r="C173">
        <v>6</v>
      </c>
      <c r="D173">
        <v>20190917</v>
      </c>
      <c r="E173" t="s">
        <v>17</v>
      </c>
      <c r="F173">
        <v>2978.1178</v>
      </c>
      <c r="G173">
        <v>3023.7109</v>
      </c>
      <c r="H173">
        <v>3023.7109</v>
      </c>
      <c r="I173">
        <v>2970.5704000000001</v>
      </c>
      <c r="J173">
        <v>3030.7543999999998</v>
      </c>
      <c r="K173">
        <v>-52.636600000000001</v>
      </c>
      <c r="L173">
        <v>-1.7366999999999999</v>
      </c>
      <c r="M173">
        <v>223338061</v>
      </c>
      <c r="N173">
        <v>237738935.90000001</v>
      </c>
      <c r="O173">
        <v>54</v>
      </c>
      <c r="P173">
        <v>136</v>
      </c>
      <c r="Q173">
        <v>0.39705882399999998</v>
      </c>
      <c r="R173">
        <v>0.99145250100000004</v>
      </c>
    </row>
    <row r="174" spans="1:18" x14ac:dyDescent="0.2">
      <c r="A174">
        <v>174</v>
      </c>
      <c r="B174">
        <v>38</v>
      </c>
      <c r="C174">
        <v>4</v>
      </c>
      <c r="D174">
        <v>20190918</v>
      </c>
      <c r="E174" t="s">
        <v>17</v>
      </c>
      <c r="F174">
        <v>2985.6586000000002</v>
      </c>
      <c r="G174">
        <v>2984.0837000000001</v>
      </c>
      <c r="H174">
        <v>2996.4022</v>
      </c>
      <c r="I174">
        <v>2982.4002999999998</v>
      </c>
      <c r="J174">
        <v>2978.1178</v>
      </c>
      <c r="K174">
        <v>7.5407999999999999</v>
      </c>
      <c r="L174">
        <v>0.25319999999999998</v>
      </c>
      <c r="M174">
        <v>168046699</v>
      </c>
      <c r="N174">
        <v>199953631.59999999</v>
      </c>
      <c r="O174">
        <v>104</v>
      </c>
      <c r="P174">
        <v>36</v>
      </c>
      <c r="Q174">
        <v>2.888888889</v>
      </c>
      <c r="R174">
        <v>0.99463843799999996</v>
      </c>
    </row>
    <row r="175" spans="1:18" x14ac:dyDescent="0.2">
      <c r="A175">
        <v>175</v>
      </c>
      <c r="B175">
        <v>54</v>
      </c>
      <c r="C175">
        <v>3</v>
      </c>
      <c r="D175">
        <v>20190919</v>
      </c>
      <c r="E175" t="s">
        <v>17</v>
      </c>
      <c r="F175">
        <v>2999.2788999999998</v>
      </c>
      <c r="G175">
        <v>2992.9222</v>
      </c>
      <c r="H175">
        <v>2999.2788999999998</v>
      </c>
      <c r="I175">
        <v>2975.3978000000002</v>
      </c>
      <c r="J175">
        <v>2985.6586000000002</v>
      </c>
      <c r="K175">
        <v>13.6203</v>
      </c>
      <c r="L175">
        <v>0.45619999999999999</v>
      </c>
      <c r="M175">
        <v>162690615</v>
      </c>
      <c r="N175">
        <v>193206549.5</v>
      </c>
      <c r="O175">
        <v>151</v>
      </c>
      <c r="P175">
        <v>18</v>
      </c>
      <c r="Q175">
        <v>8.3888888890000004</v>
      </c>
      <c r="R175">
        <v>0.99802434900000003</v>
      </c>
    </row>
    <row r="176" spans="1:18" x14ac:dyDescent="0.2">
      <c r="A176">
        <v>176</v>
      </c>
      <c r="B176">
        <v>42</v>
      </c>
      <c r="C176">
        <v>3</v>
      </c>
      <c r="D176">
        <v>20190920</v>
      </c>
      <c r="E176" t="s">
        <v>17</v>
      </c>
      <c r="F176">
        <v>3006.4467</v>
      </c>
      <c r="G176">
        <v>3004.8141999999998</v>
      </c>
      <c r="H176">
        <v>3011.34</v>
      </c>
      <c r="I176">
        <v>2996.1929</v>
      </c>
      <c r="J176">
        <v>2999.2788999999998</v>
      </c>
      <c r="K176">
        <v>7.1677999999999997</v>
      </c>
      <c r="L176">
        <v>0.23899999999999999</v>
      </c>
      <c r="M176">
        <v>182145302</v>
      </c>
      <c r="N176">
        <v>218390586.90000001</v>
      </c>
      <c r="O176">
        <v>94</v>
      </c>
      <c r="P176">
        <v>22</v>
      </c>
      <c r="Q176">
        <v>4.2727272730000001</v>
      </c>
      <c r="R176">
        <v>0.96820504399999996</v>
      </c>
    </row>
    <row r="177" spans="1:18" x14ac:dyDescent="0.2">
      <c r="A177">
        <v>177</v>
      </c>
      <c r="B177">
        <v>39</v>
      </c>
      <c r="C177">
        <v>7</v>
      </c>
      <c r="D177">
        <v>20190923</v>
      </c>
      <c r="E177" t="s">
        <v>17</v>
      </c>
      <c r="F177">
        <v>2977.0767000000001</v>
      </c>
      <c r="G177">
        <v>2998.3995</v>
      </c>
      <c r="H177">
        <v>2998.3995</v>
      </c>
      <c r="I177">
        <v>2960.8270000000002</v>
      </c>
      <c r="J177">
        <v>3006.4467</v>
      </c>
      <c r="K177">
        <v>-29.37</v>
      </c>
      <c r="L177">
        <v>-0.97689999999999999</v>
      </c>
      <c r="M177">
        <v>168139450</v>
      </c>
      <c r="N177">
        <v>199130548.80000001</v>
      </c>
      <c r="O177">
        <v>85</v>
      </c>
      <c r="P177">
        <v>49</v>
      </c>
      <c r="Q177">
        <v>1.7346938780000001</v>
      </c>
      <c r="R177">
        <v>0.99533561500000001</v>
      </c>
    </row>
    <row r="178" spans="1:18" x14ac:dyDescent="0.2">
      <c r="A178">
        <v>178</v>
      </c>
      <c r="B178">
        <v>49</v>
      </c>
      <c r="C178">
        <v>5</v>
      </c>
      <c r="D178">
        <v>20190924</v>
      </c>
      <c r="E178" t="s">
        <v>17</v>
      </c>
      <c r="F178">
        <v>2985.3406</v>
      </c>
      <c r="G178">
        <v>2979.4751999999999</v>
      </c>
      <c r="H178">
        <v>3002.8966999999998</v>
      </c>
      <c r="I178">
        <v>2973.7601</v>
      </c>
      <c r="J178">
        <v>2977.0767000000001</v>
      </c>
      <c r="K178">
        <v>8.2638999999999996</v>
      </c>
      <c r="L178">
        <v>0.27760000000000001</v>
      </c>
      <c r="M178">
        <v>163902761</v>
      </c>
      <c r="N178">
        <v>206245805.59999999</v>
      </c>
      <c r="O178">
        <v>119</v>
      </c>
      <c r="P178">
        <v>24</v>
      </c>
      <c r="Q178">
        <v>4.9583333329999997</v>
      </c>
      <c r="R178">
        <v>1.0084123659999999</v>
      </c>
    </row>
    <row r="179" spans="1:18" x14ac:dyDescent="0.2">
      <c r="A179">
        <v>179</v>
      </c>
      <c r="B179">
        <v>32</v>
      </c>
      <c r="C179">
        <v>19</v>
      </c>
      <c r="D179">
        <v>20190925</v>
      </c>
      <c r="E179" t="s">
        <v>17</v>
      </c>
      <c r="F179">
        <v>2955.4324999999999</v>
      </c>
      <c r="G179">
        <v>2977.6676000000002</v>
      </c>
      <c r="H179">
        <v>2977.6676000000002</v>
      </c>
      <c r="I179">
        <v>2955.4324999999999</v>
      </c>
      <c r="J179">
        <v>2985.3406</v>
      </c>
      <c r="K179">
        <v>-29.908100000000001</v>
      </c>
      <c r="L179">
        <v>-1.0018</v>
      </c>
      <c r="M179">
        <v>168543135</v>
      </c>
      <c r="N179">
        <v>203782754.19999999</v>
      </c>
      <c r="O179">
        <v>54</v>
      </c>
      <c r="P179">
        <v>230</v>
      </c>
      <c r="Q179">
        <v>0.234782609</v>
      </c>
      <c r="R179">
        <v>0.98664060099999995</v>
      </c>
    </row>
    <row r="180" spans="1:18" x14ac:dyDescent="0.2">
      <c r="A180">
        <v>180</v>
      </c>
      <c r="B180">
        <v>29</v>
      </c>
      <c r="C180">
        <v>93</v>
      </c>
      <c r="D180">
        <v>20190926</v>
      </c>
      <c r="E180" t="s">
        <v>17</v>
      </c>
      <c r="F180">
        <v>2929.0875000000001</v>
      </c>
      <c r="G180">
        <v>2964.4776000000002</v>
      </c>
      <c r="H180">
        <v>2970.0354000000002</v>
      </c>
      <c r="I180">
        <v>2928.2588999999998</v>
      </c>
      <c r="J180">
        <v>2955.4324999999999</v>
      </c>
      <c r="K180">
        <v>-26.344999999999999</v>
      </c>
      <c r="L180">
        <v>-0.89139999999999997</v>
      </c>
      <c r="M180">
        <v>188932541</v>
      </c>
      <c r="N180">
        <v>216277562.90000001</v>
      </c>
      <c r="O180">
        <v>51</v>
      </c>
      <c r="P180">
        <v>579</v>
      </c>
      <c r="Q180">
        <v>8.8082902000000005E-2</v>
      </c>
      <c r="R180">
        <v>0.96699444300000004</v>
      </c>
    </row>
    <row r="181" spans="1:18" x14ac:dyDescent="0.2">
      <c r="A181">
        <v>181</v>
      </c>
      <c r="B181">
        <v>49</v>
      </c>
      <c r="C181">
        <v>13</v>
      </c>
      <c r="D181">
        <v>20190927</v>
      </c>
      <c r="E181" t="s">
        <v>17</v>
      </c>
      <c r="F181">
        <v>2932.5491000000002</v>
      </c>
      <c r="G181">
        <v>2929.4859999999999</v>
      </c>
      <c r="H181">
        <v>2939.0789</v>
      </c>
      <c r="I181">
        <v>2920.93</v>
      </c>
      <c r="J181">
        <v>2929.0875000000001</v>
      </c>
      <c r="K181">
        <v>3.4615999999999998</v>
      </c>
      <c r="L181">
        <v>0.1182</v>
      </c>
      <c r="M181">
        <v>132905777</v>
      </c>
      <c r="N181">
        <v>153311002.40000001</v>
      </c>
      <c r="O181">
        <v>181</v>
      </c>
      <c r="P181">
        <v>53</v>
      </c>
      <c r="Q181">
        <v>3.41509434</v>
      </c>
      <c r="R181">
        <v>0.98028488999999996</v>
      </c>
    </row>
    <row r="182" spans="1:18" x14ac:dyDescent="0.2">
      <c r="A182">
        <v>182</v>
      </c>
      <c r="B182">
        <v>16</v>
      </c>
      <c r="C182">
        <v>25</v>
      </c>
      <c r="D182">
        <v>20190930</v>
      </c>
      <c r="E182" t="s">
        <v>17</v>
      </c>
      <c r="F182">
        <v>2905.1891999999998</v>
      </c>
      <c r="G182">
        <v>2927.9164999999998</v>
      </c>
      <c r="H182">
        <v>2936.482</v>
      </c>
      <c r="I182">
        <v>2905.1891999999998</v>
      </c>
      <c r="J182">
        <v>2932.1669999999999</v>
      </c>
      <c r="K182">
        <v>-26.977799999999998</v>
      </c>
      <c r="L182">
        <v>-0.92010000000000003</v>
      </c>
      <c r="M182">
        <v>116646811</v>
      </c>
      <c r="N182">
        <v>142591702.5</v>
      </c>
      <c r="O182">
        <v>38</v>
      </c>
      <c r="P182">
        <v>134</v>
      </c>
      <c r="Q182">
        <v>0.28358209000000001</v>
      </c>
      <c r="R182">
        <v>0.97588974900000003</v>
      </c>
    </row>
    <row r="183" spans="1:18" x14ac:dyDescent="0.2">
      <c r="A183">
        <v>183</v>
      </c>
      <c r="B183">
        <v>39</v>
      </c>
      <c r="C183">
        <v>16</v>
      </c>
      <c r="D183">
        <v>20191008</v>
      </c>
      <c r="E183" t="s">
        <v>17</v>
      </c>
      <c r="F183">
        <v>2913.5704000000001</v>
      </c>
      <c r="G183">
        <v>2905.7559000000001</v>
      </c>
      <c r="H183">
        <v>2933.0162999999998</v>
      </c>
      <c r="I183">
        <v>2905.7559000000001</v>
      </c>
      <c r="J183">
        <v>2905.1891999999998</v>
      </c>
      <c r="K183">
        <v>8.3811999999999998</v>
      </c>
      <c r="L183">
        <v>0.28849999999999998</v>
      </c>
      <c r="M183">
        <v>125535812</v>
      </c>
      <c r="N183">
        <v>151980792</v>
      </c>
      <c r="O183">
        <v>133</v>
      </c>
      <c r="P183">
        <v>74</v>
      </c>
      <c r="Q183">
        <v>1.7972972970000001</v>
      </c>
      <c r="R183">
        <v>1.0112781150000001</v>
      </c>
    </row>
    <row r="184" spans="1:18" x14ac:dyDescent="0.2">
      <c r="A184">
        <v>184</v>
      </c>
      <c r="B184">
        <v>35</v>
      </c>
      <c r="C184">
        <v>8</v>
      </c>
      <c r="D184">
        <v>20191009</v>
      </c>
      <c r="E184" t="s">
        <v>17</v>
      </c>
      <c r="F184">
        <v>2924.8566000000001</v>
      </c>
      <c r="G184">
        <v>2902.0751</v>
      </c>
      <c r="H184">
        <v>2924.8566000000001</v>
      </c>
      <c r="I184">
        <v>2891.5394000000001</v>
      </c>
      <c r="J184">
        <v>2913.5704000000001</v>
      </c>
      <c r="K184">
        <v>11.286199999999999</v>
      </c>
      <c r="L184">
        <v>0.38740000000000002</v>
      </c>
      <c r="M184">
        <v>130424144</v>
      </c>
      <c r="N184">
        <v>150940230.80000001</v>
      </c>
      <c r="O184">
        <v>123</v>
      </c>
      <c r="P184">
        <v>28</v>
      </c>
      <c r="Q184">
        <v>4.3928571429999996</v>
      </c>
      <c r="R184">
        <v>1.00047558</v>
      </c>
    </row>
    <row r="185" spans="1:18" x14ac:dyDescent="0.2">
      <c r="A185">
        <v>185</v>
      </c>
      <c r="B185">
        <v>56</v>
      </c>
      <c r="C185">
        <v>2</v>
      </c>
      <c r="D185">
        <v>20191010</v>
      </c>
      <c r="E185" t="s">
        <v>17</v>
      </c>
      <c r="F185">
        <v>2947.7105999999999</v>
      </c>
      <c r="G185">
        <v>2923.7069000000001</v>
      </c>
      <c r="H185">
        <v>2949.2404000000001</v>
      </c>
      <c r="I185">
        <v>2918.2284</v>
      </c>
      <c r="J185">
        <v>2924.8566000000001</v>
      </c>
      <c r="K185">
        <v>22.853999999999999</v>
      </c>
      <c r="L185">
        <v>0.78139999999999998</v>
      </c>
      <c r="M185">
        <v>134239752</v>
      </c>
      <c r="N185">
        <v>157159976.80000001</v>
      </c>
      <c r="O185">
        <v>181</v>
      </c>
      <c r="P185">
        <v>8</v>
      </c>
      <c r="Q185">
        <v>22.625</v>
      </c>
      <c r="R185">
        <v>1.01373048</v>
      </c>
    </row>
    <row r="186" spans="1:18" x14ac:dyDescent="0.2">
      <c r="A186">
        <v>186</v>
      </c>
      <c r="B186">
        <v>49</v>
      </c>
      <c r="C186">
        <v>3</v>
      </c>
      <c r="D186">
        <v>20191011</v>
      </c>
      <c r="E186" t="s">
        <v>17</v>
      </c>
      <c r="F186">
        <v>2973.6558</v>
      </c>
      <c r="G186">
        <v>2954.8189000000002</v>
      </c>
      <c r="H186">
        <v>2980.7874999999999</v>
      </c>
      <c r="I186">
        <v>2943.0137</v>
      </c>
      <c r="J186">
        <v>2947.7105999999999</v>
      </c>
      <c r="K186">
        <v>25.9452</v>
      </c>
      <c r="L186">
        <v>0.88019999999999998</v>
      </c>
      <c r="M186">
        <v>161203746</v>
      </c>
      <c r="N186">
        <v>182747393.09999999</v>
      </c>
      <c r="O186">
        <v>115</v>
      </c>
      <c r="P186">
        <v>35</v>
      </c>
      <c r="Q186">
        <v>3.2857142860000002</v>
      </c>
      <c r="R186">
        <v>0.99338228900000003</v>
      </c>
    </row>
    <row r="187" spans="1:18" x14ac:dyDescent="0.2">
      <c r="A187">
        <v>187</v>
      </c>
      <c r="B187">
        <v>72</v>
      </c>
      <c r="C187">
        <v>1</v>
      </c>
      <c r="D187">
        <v>20191014</v>
      </c>
      <c r="E187" t="s">
        <v>17</v>
      </c>
      <c r="F187">
        <v>3007.8834000000002</v>
      </c>
      <c r="G187">
        <v>2993.9616999999998</v>
      </c>
      <c r="H187">
        <v>3026.3834000000002</v>
      </c>
      <c r="I187">
        <v>2989.8125</v>
      </c>
      <c r="J187">
        <v>2973.6558</v>
      </c>
      <c r="K187">
        <v>34.227600000000002</v>
      </c>
      <c r="L187">
        <v>1.151</v>
      </c>
      <c r="M187">
        <v>208614802</v>
      </c>
      <c r="N187">
        <v>221201755.69999999</v>
      </c>
      <c r="O187">
        <v>175</v>
      </c>
      <c r="P187">
        <v>7</v>
      </c>
      <c r="Q187">
        <v>25</v>
      </c>
      <c r="R187">
        <v>1.007147029</v>
      </c>
    </row>
    <row r="188" spans="1:18" x14ac:dyDescent="0.2">
      <c r="A188">
        <v>188</v>
      </c>
      <c r="B188">
        <v>40</v>
      </c>
      <c r="C188">
        <v>36</v>
      </c>
      <c r="D188">
        <v>20191015</v>
      </c>
      <c r="E188" t="s">
        <v>17</v>
      </c>
      <c r="F188">
        <v>2991.0459000000001</v>
      </c>
      <c r="G188">
        <v>3005.6646000000001</v>
      </c>
      <c r="H188">
        <v>3005.6646000000001</v>
      </c>
      <c r="I188">
        <v>2986.3033</v>
      </c>
      <c r="J188">
        <v>3007.8834000000002</v>
      </c>
      <c r="K188">
        <v>-16.837499999999999</v>
      </c>
      <c r="L188">
        <v>-0.55979999999999996</v>
      </c>
      <c r="M188">
        <v>155376904</v>
      </c>
      <c r="N188">
        <v>169531932.5</v>
      </c>
      <c r="O188">
        <v>67</v>
      </c>
      <c r="P188">
        <v>159</v>
      </c>
      <c r="Q188">
        <v>0.421383648</v>
      </c>
      <c r="R188">
        <v>0.98258487800000005</v>
      </c>
    </row>
    <row r="189" spans="1:18" x14ac:dyDescent="0.2">
      <c r="A189">
        <v>189</v>
      </c>
      <c r="B189">
        <v>30</v>
      </c>
      <c r="C189">
        <v>11</v>
      </c>
      <c r="D189">
        <v>20191016</v>
      </c>
      <c r="E189" t="s">
        <v>17</v>
      </c>
      <c r="F189">
        <v>2978.7123999999999</v>
      </c>
      <c r="G189">
        <v>2992.6102999999998</v>
      </c>
      <c r="H189">
        <v>3010.4241000000002</v>
      </c>
      <c r="I189">
        <v>2975.9232999999999</v>
      </c>
      <c r="J189">
        <v>2991.0459000000001</v>
      </c>
      <c r="K189">
        <v>-12.333500000000001</v>
      </c>
      <c r="L189">
        <v>-0.4123</v>
      </c>
      <c r="M189">
        <v>149885496</v>
      </c>
      <c r="N189">
        <v>166791549.40000001</v>
      </c>
      <c r="O189">
        <v>70</v>
      </c>
      <c r="P189">
        <v>59</v>
      </c>
      <c r="Q189">
        <v>1.1864406780000001</v>
      </c>
      <c r="R189">
        <v>0.97693539399999996</v>
      </c>
    </row>
    <row r="190" spans="1:18" x14ac:dyDescent="0.2">
      <c r="A190">
        <v>190</v>
      </c>
      <c r="B190">
        <v>26</v>
      </c>
      <c r="C190">
        <v>5</v>
      </c>
      <c r="D190">
        <v>20191017</v>
      </c>
      <c r="E190" t="s">
        <v>17</v>
      </c>
      <c r="F190">
        <v>2977.3341999999998</v>
      </c>
      <c r="G190">
        <v>2979.9929000000002</v>
      </c>
      <c r="H190">
        <v>2986.7190999999998</v>
      </c>
      <c r="I190">
        <v>2969.5680000000002</v>
      </c>
      <c r="J190">
        <v>2978.7123999999999</v>
      </c>
      <c r="K190">
        <v>-1.3782000000000001</v>
      </c>
      <c r="L190">
        <v>-4.6300000000000001E-2</v>
      </c>
      <c r="M190">
        <v>122527614</v>
      </c>
      <c r="N190">
        <v>136051252.09999999</v>
      </c>
      <c r="O190">
        <v>67</v>
      </c>
      <c r="P190">
        <v>36</v>
      </c>
      <c r="Q190">
        <v>1.861111111</v>
      </c>
      <c r="R190">
        <v>0.98960321500000004</v>
      </c>
    </row>
    <row r="191" spans="1:18" x14ac:dyDescent="0.2">
      <c r="A191">
        <v>191</v>
      </c>
      <c r="B191">
        <v>31</v>
      </c>
      <c r="C191">
        <v>7</v>
      </c>
      <c r="D191">
        <v>20191018</v>
      </c>
      <c r="E191" t="s">
        <v>17</v>
      </c>
      <c r="F191">
        <v>2938.1412999999998</v>
      </c>
      <c r="G191">
        <v>2982.3416999999999</v>
      </c>
      <c r="H191">
        <v>2987.2035000000001</v>
      </c>
      <c r="I191">
        <v>2933.2424000000001</v>
      </c>
      <c r="J191">
        <v>2977.3341999999998</v>
      </c>
      <c r="K191">
        <v>-39.192900000000002</v>
      </c>
      <c r="L191">
        <v>-1.3164</v>
      </c>
      <c r="M191">
        <v>149990678</v>
      </c>
      <c r="N191">
        <v>162018272.30000001</v>
      </c>
      <c r="O191">
        <v>55</v>
      </c>
      <c r="P191">
        <v>65</v>
      </c>
      <c r="Q191">
        <v>0.84615384599999999</v>
      </c>
      <c r="R191">
        <v>0.99852042299999999</v>
      </c>
    </row>
    <row r="192" spans="1:18" x14ac:dyDescent="0.2">
      <c r="A192">
        <v>192</v>
      </c>
      <c r="B192">
        <v>33</v>
      </c>
      <c r="C192">
        <v>26</v>
      </c>
      <c r="D192">
        <v>20191021</v>
      </c>
      <c r="E192" t="s">
        <v>17</v>
      </c>
      <c r="F192">
        <v>2939.6179000000002</v>
      </c>
      <c r="G192">
        <v>2933.8969000000002</v>
      </c>
      <c r="H192">
        <v>2940.3245999999999</v>
      </c>
      <c r="I192">
        <v>2917.6884</v>
      </c>
      <c r="J192">
        <v>2938.1412999999998</v>
      </c>
      <c r="K192">
        <v>1.4765999999999999</v>
      </c>
      <c r="L192">
        <v>5.0299999999999997E-2</v>
      </c>
      <c r="M192">
        <v>132475107</v>
      </c>
      <c r="N192">
        <v>145685881.19999999</v>
      </c>
      <c r="O192">
        <v>77</v>
      </c>
      <c r="P192">
        <v>142</v>
      </c>
      <c r="Q192">
        <v>0.54225352100000002</v>
      </c>
      <c r="R192">
        <v>0.99099547600000004</v>
      </c>
    </row>
    <row r="193" spans="1:18" x14ac:dyDescent="0.2">
      <c r="A193">
        <v>193</v>
      </c>
      <c r="B193">
        <v>43</v>
      </c>
      <c r="C193">
        <v>5</v>
      </c>
      <c r="D193">
        <v>20191022</v>
      </c>
      <c r="E193" t="s">
        <v>17</v>
      </c>
      <c r="F193">
        <v>2954.3798999999999</v>
      </c>
      <c r="G193">
        <v>2945.6001000000001</v>
      </c>
      <c r="H193">
        <v>2954.6415000000002</v>
      </c>
      <c r="I193">
        <v>2934.3872999999999</v>
      </c>
      <c r="J193">
        <v>2939.6179000000002</v>
      </c>
      <c r="K193">
        <v>14.762</v>
      </c>
      <c r="L193">
        <v>0.50219999999999998</v>
      </c>
      <c r="M193">
        <v>117482048</v>
      </c>
      <c r="N193">
        <v>130381741.2</v>
      </c>
      <c r="O193">
        <v>140</v>
      </c>
      <c r="P193">
        <v>16</v>
      </c>
      <c r="Q193">
        <v>8.75</v>
      </c>
      <c r="R193">
        <v>1.0181012780000001</v>
      </c>
    </row>
    <row r="194" spans="1:18" x14ac:dyDescent="0.2">
      <c r="A194">
        <v>194</v>
      </c>
      <c r="B194">
        <v>35</v>
      </c>
      <c r="C194">
        <v>4</v>
      </c>
      <c r="D194">
        <v>20191023</v>
      </c>
      <c r="E194" t="s">
        <v>17</v>
      </c>
      <c r="F194">
        <v>2941.6188000000002</v>
      </c>
      <c r="G194">
        <v>2952.9693000000002</v>
      </c>
      <c r="H194">
        <v>2957.2995000000001</v>
      </c>
      <c r="I194">
        <v>2934.6273999999999</v>
      </c>
      <c r="J194">
        <v>2954.3798999999999</v>
      </c>
      <c r="K194">
        <v>-12.761100000000001</v>
      </c>
      <c r="L194">
        <v>-0.43190000000000001</v>
      </c>
      <c r="M194">
        <v>123812881</v>
      </c>
      <c r="N194">
        <v>139653650.5</v>
      </c>
      <c r="O194">
        <v>84</v>
      </c>
      <c r="P194">
        <v>30</v>
      </c>
      <c r="Q194">
        <v>2.8</v>
      </c>
      <c r="R194">
        <v>0.97659747799999996</v>
      </c>
    </row>
    <row r="195" spans="1:18" x14ac:dyDescent="0.2">
      <c r="A195">
        <v>195</v>
      </c>
      <c r="B195">
        <v>30</v>
      </c>
      <c r="C195">
        <v>13</v>
      </c>
      <c r="D195">
        <v>20191024</v>
      </c>
      <c r="E195" t="s">
        <v>17</v>
      </c>
      <c r="F195">
        <v>2940.9214999999999</v>
      </c>
      <c r="G195">
        <v>2944.0066999999999</v>
      </c>
      <c r="H195">
        <v>2953.0441000000001</v>
      </c>
      <c r="I195">
        <v>2927.0612000000001</v>
      </c>
      <c r="J195">
        <v>2941.6188000000002</v>
      </c>
      <c r="K195">
        <v>-0.69730000000000003</v>
      </c>
      <c r="L195">
        <v>-2.3699999999999999E-2</v>
      </c>
      <c r="M195">
        <v>126540290</v>
      </c>
      <c r="N195">
        <v>141667233</v>
      </c>
      <c r="O195">
        <v>71</v>
      </c>
      <c r="P195">
        <v>42</v>
      </c>
      <c r="Q195">
        <v>1.69047619</v>
      </c>
      <c r="R195">
        <v>0.99682087600000002</v>
      </c>
    </row>
    <row r="196" spans="1:18" x14ac:dyDescent="0.2">
      <c r="A196">
        <v>196</v>
      </c>
      <c r="B196">
        <v>34</v>
      </c>
      <c r="C196">
        <v>6</v>
      </c>
      <c r="D196">
        <v>20191025</v>
      </c>
      <c r="E196" t="s">
        <v>17</v>
      </c>
      <c r="F196">
        <v>2954.9326999999998</v>
      </c>
      <c r="G196">
        <v>2940.4740999999999</v>
      </c>
      <c r="H196">
        <v>2958.2408999999998</v>
      </c>
      <c r="I196">
        <v>2920.5194999999999</v>
      </c>
      <c r="J196">
        <v>2940.9214999999999</v>
      </c>
      <c r="K196">
        <v>14.011200000000001</v>
      </c>
      <c r="L196">
        <v>0.47639999999999999</v>
      </c>
      <c r="M196">
        <v>136860706</v>
      </c>
      <c r="N196">
        <v>160224090.59999999</v>
      </c>
      <c r="O196">
        <v>95</v>
      </c>
      <c r="P196">
        <v>29</v>
      </c>
      <c r="Q196">
        <v>3.275862069</v>
      </c>
      <c r="R196">
        <v>1.020356628</v>
      </c>
    </row>
    <row r="197" spans="1:18" x14ac:dyDescent="0.2">
      <c r="A197">
        <v>197</v>
      </c>
      <c r="B197">
        <v>149</v>
      </c>
      <c r="C197">
        <v>13</v>
      </c>
      <c r="D197">
        <v>20191028</v>
      </c>
      <c r="E197" t="s">
        <v>17</v>
      </c>
      <c r="F197">
        <v>2980.0497999999998</v>
      </c>
      <c r="G197">
        <v>2958.6860000000001</v>
      </c>
      <c r="H197">
        <v>2980.1280000000002</v>
      </c>
      <c r="I197">
        <v>2956.9607000000001</v>
      </c>
      <c r="J197">
        <v>2954.9326999999998</v>
      </c>
      <c r="K197">
        <v>25.117100000000001</v>
      </c>
      <c r="L197">
        <v>0.85</v>
      </c>
      <c r="M197">
        <v>173731481</v>
      </c>
      <c r="N197">
        <v>198817012.19999999</v>
      </c>
      <c r="O197">
        <v>315</v>
      </c>
      <c r="P197">
        <v>24</v>
      </c>
      <c r="Q197">
        <v>13.125</v>
      </c>
      <c r="R197">
        <v>1.020168384</v>
      </c>
    </row>
    <row r="198" spans="1:18" x14ac:dyDescent="0.2">
      <c r="A198">
        <v>198</v>
      </c>
      <c r="B198">
        <v>44</v>
      </c>
      <c r="C198">
        <v>18</v>
      </c>
      <c r="D198">
        <v>20191029</v>
      </c>
      <c r="E198" t="s">
        <v>17</v>
      </c>
      <c r="F198">
        <v>2954.1759999999999</v>
      </c>
      <c r="G198">
        <v>2979.0365000000002</v>
      </c>
      <c r="H198">
        <v>2979.0365000000002</v>
      </c>
      <c r="I198">
        <v>2954.1759999999999</v>
      </c>
      <c r="J198">
        <v>2980.0497999999998</v>
      </c>
      <c r="K198">
        <v>-25.873799999999999</v>
      </c>
      <c r="L198">
        <v>-0.86819999999999997</v>
      </c>
      <c r="M198">
        <v>166110058</v>
      </c>
      <c r="N198">
        <v>195288081.59999999</v>
      </c>
      <c r="O198">
        <v>65</v>
      </c>
      <c r="P198">
        <v>186</v>
      </c>
      <c r="Q198">
        <v>0.34946236600000002</v>
      </c>
      <c r="R198">
        <v>0.96747011800000005</v>
      </c>
    </row>
    <row r="199" spans="1:18" x14ac:dyDescent="0.2">
      <c r="A199">
        <v>199</v>
      </c>
      <c r="B199">
        <v>29</v>
      </c>
      <c r="C199">
        <v>38</v>
      </c>
      <c r="D199">
        <v>20191030</v>
      </c>
      <c r="E199" t="s">
        <v>17</v>
      </c>
      <c r="F199">
        <v>2939.3209000000002</v>
      </c>
      <c r="G199">
        <v>2949.4630999999999</v>
      </c>
      <c r="H199">
        <v>2953.2986000000001</v>
      </c>
      <c r="I199">
        <v>2934.8279000000002</v>
      </c>
      <c r="J199">
        <v>2954.1759999999999</v>
      </c>
      <c r="K199">
        <v>-14.8551</v>
      </c>
      <c r="L199">
        <v>-0.50290000000000001</v>
      </c>
      <c r="M199">
        <v>158798110</v>
      </c>
      <c r="N199">
        <v>181529501.30000001</v>
      </c>
      <c r="O199">
        <v>74</v>
      </c>
      <c r="P199">
        <v>191</v>
      </c>
      <c r="Q199">
        <v>0.38743455500000001</v>
      </c>
      <c r="R199">
        <v>0.97469208100000004</v>
      </c>
    </row>
    <row r="200" spans="1:18" x14ac:dyDescent="0.2">
      <c r="A200">
        <v>200</v>
      </c>
      <c r="B200">
        <v>20</v>
      </c>
      <c r="C200">
        <v>38</v>
      </c>
      <c r="D200">
        <v>20191031</v>
      </c>
      <c r="E200" t="s">
        <v>17</v>
      </c>
      <c r="F200">
        <v>2929.0560999999998</v>
      </c>
      <c r="G200">
        <v>2944.8427000000001</v>
      </c>
      <c r="H200">
        <v>2946.7523000000001</v>
      </c>
      <c r="I200">
        <v>2923.5167000000001</v>
      </c>
      <c r="J200">
        <v>2939.3209000000002</v>
      </c>
      <c r="K200">
        <v>-10.264799999999999</v>
      </c>
      <c r="L200">
        <v>-0.34920000000000001</v>
      </c>
      <c r="M200">
        <v>161571483</v>
      </c>
      <c r="N200">
        <v>181801937.40000001</v>
      </c>
      <c r="O200">
        <v>56</v>
      </c>
      <c r="P200">
        <v>183</v>
      </c>
      <c r="Q200">
        <v>0.30601092899999999</v>
      </c>
      <c r="R200">
        <v>0.97735197600000001</v>
      </c>
    </row>
    <row r="201" spans="1:18" x14ac:dyDescent="0.2">
      <c r="A201">
        <v>201</v>
      </c>
      <c r="B201">
        <v>34</v>
      </c>
      <c r="C201">
        <v>7</v>
      </c>
      <c r="D201">
        <v>20191101</v>
      </c>
      <c r="E201" t="s">
        <v>17</v>
      </c>
      <c r="F201">
        <v>2958.1992</v>
      </c>
      <c r="G201">
        <v>2924.3402000000001</v>
      </c>
      <c r="H201">
        <v>2959.8330000000001</v>
      </c>
      <c r="I201">
        <v>2917.1455000000001</v>
      </c>
      <c r="J201">
        <v>2929.0560999999998</v>
      </c>
      <c r="K201">
        <v>29.1431</v>
      </c>
      <c r="L201">
        <v>0.995</v>
      </c>
      <c r="M201">
        <v>159907373</v>
      </c>
      <c r="N201">
        <v>175630839.09999999</v>
      </c>
      <c r="O201">
        <v>111</v>
      </c>
      <c r="P201">
        <v>30</v>
      </c>
      <c r="Q201">
        <v>3.7</v>
      </c>
      <c r="R201">
        <v>1.0157065359999999</v>
      </c>
    </row>
    <row r="202" spans="1:18" x14ac:dyDescent="0.2">
      <c r="A202">
        <v>202</v>
      </c>
      <c r="B202">
        <v>27</v>
      </c>
      <c r="C202">
        <v>4</v>
      </c>
      <c r="D202">
        <v>20191104</v>
      </c>
      <c r="E202" t="s">
        <v>17</v>
      </c>
      <c r="F202">
        <v>2975.4919</v>
      </c>
      <c r="G202">
        <v>2964.576</v>
      </c>
      <c r="H202">
        <v>2983.0581000000002</v>
      </c>
      <c r="I202">
        <v>2964.576</v>
      </c>
      <c r="J202">
        <v>2958.1992</v>
      </c>
      <c r="K202">
        <v>17.2927</v>
      </c>
      <c r="L202">
        <v>0.58460000000000001</v>
      </c>
      <c r="M202">
        <v>167248364</v>
      </c>
      <c r="N202">
        <v>188710094.69999999</v>
      </c>
      <c r="O202">
        <v>95</v>
      </c>
      <c r="P202">
        <v>22</v>
      </c>
      <c r="Q202">
        <v>4.3181818180000002</v>
      </c>
      <c r="R202">
        <v>0.98828384000000002</v>
      </c>
    </row>
    <row r="203" spans="1:18" x14ac:dyDescent="0.2">
      <c r="A203">
        <v>203</v>
      </c>
      <c r="B203">
        <v>23</v>
      </c>
      <c r="C203">
        <v>8</v>
      </c>
      <c r="D203">
        <v>20191105</v>
      </c>
      <c r="E203" t="s">
        <v>17</v>
      </c>
      <c r="F203">
        <v>2991.5621999999998</v>
      </c>
      <c r="G203">
        <v>2977.7048</v>
      </c>
      <c r="H203">
        <v>3008.3144000000002</v>
      </c>
      <c r="I203">
        <v>2968.0324000000001</v>
      </c>
      <c r="J203">
        <v>2975.4919</v>
      </c>
      <c r="K203">
        <v>16.0703</v>
      </c>
      <c r="L203">
        <v>0.54010000000000002</v>
      </c>
      <c r="M203">
        <v>179891593</v>
      </c>
      <c r="N203">
        <v>203691630.19999999</v>
      </c>
      <c r="O203">
        <v>85</v>
      </c>
      <c r="P203">
        <v>47</v>
      </c>
      <c r="Q203">
        <v>1.808510638</v>
      </c>
      <c r="R203">
        <v>0.99534286500000002</v>
      </c>
    </row>
    <row r="204" spans="1:18" x14ac:dyDescent="0.2">
      <c r="A204">
        <v>204</v>
      </c>
      <c r="B204">
        <v>24</v>
      </c>
      <c r="C204">
        <v>7</v>
      </c>
      <c r="D204">
        <v>20191106</v>
      </c>
      <c r="E204" t="s">
        <v>17</v>
      </c>
      <c r="F204">
        <v>2978.5954999999999</v>
      </c>
      <c r="G204">
        <v>2992.0399000000002</v>
      </c>
      <c r="H204">
        <v>2995.5628999999999</v>
      </c>
      <c r="I204">
        <v>2969.7242000000001</v>
      </c>
      <c r="J204">
        <v>2991.5621999999998</v>
      </c>
      <c r="K204">
        <v>-12.966699999999999</v>
      </c>
      <c r="L204">
        <v>-0.43340000000000001</v>
      </c>
      <c r="M204">
        <v>165263547</v>
      </c>
      <c r="N204">
        <v>183985236.19999999</v>
      </c>
      <c r="O204">
        <v>50</v>
      </c>
      <c r="P204">
        <v>71</v>
      </c>
      <c r="Q204">
        <v>0.70422535200000003</v>
      </c>
      <c r="R204">
        <v>1.0031224329999999</v>
      </c>
    </row>
    <row r="205" spans="1:18" x14ac:dyDescent="0.2">
      <c r="A205">
        <v>205</v>
      </c>
      <c r="B205">
        <v>35</v>
      </c>
      <c r="C205">
        <v>4</v>
      </c>
      <c r="D205">
        <v>20191107</v>
      </c>
      <c r="E205" t="s">
        <v>17</v>
      </c>
      <c r="F205">
        <v>2978.7143999999998</v>
      </c>
      <c r="G205">
        <v>2978.1531</v>
      </c>
      <c r="H205">
        <v>2988.9549999999999</v>
      </c>
      <c r="I205">
        <v>2969.1201000000001</v>
      </c>
      <c r="J205">
        <v>2978.5954999999999</v>
      </c>
      <c r="K205">
        <v>0.11890000000000001</v>
      </c>
      <c r="L205">
        <v>4.0000000000000001E-3</v>
      </c>
      <c r="M205">
        <v>136952678</v>
      </c>
      <c r="N205">
        <v>155834877.69999999</v>
      </c>
      <c r="O205">
        <v>110</v>
      </c>
      <c r="P205">
        <v>13</v>
      </c>
      <c r="Q205">
        <v>8.461538462</v>
      </c>
      <c r="R205">
        <v>1.0089959749999999</v>
      </c>
    </row>
    <row r="206" spans="1:18" x14ac:dyDescent="0.2">
      <c r="A206">
        <v>206</v>
      </c>
      <c r="B206">
        <v>33</v>
      </c>
      <c r="C206">
        <v>5</v>
      </c>
      <c r="D206">
        <v>20191108</v>
      </c>
      <c r="E206" t="s">
        <v>17</v>
      </c>
      <c r="F206">
        <v>2964.1849000000002</v>
      </c>
      <c r="G206">
        <v>2993.9773</v>
      </c>
      <c r="H206">
        <v>2998.7593999999999</v>
      </c>
      <c r="I206">
        <v>2962.8447000000001</v>
      </c>
      <c r="J206">
        <v>2978.7143999999998</v>
      </c>
      <c r="K206">
        <v>-14.529500000000001</v>
      </c>
      <c r="L206">
        <v>-0.48780000000000001</v>
      </c>
      <c r="M206">
        <v>149742107</v>
      </c>
      <c r="N206">
        <v>173867227.19999999</v>
      </c>
      <c r="O206">
        <v>75</v>
      </c>
      <c r="P206">
        <v>32</v>
      </c>
      <c r="Q206">
        <v>2.34375</v>
      </c>
      <c r="R206">
        <v>0.98518877199999999</v>
      </c>
    </row>
    <row r="207" spans="1:18" x14ac:dyDescent="0.2">
      <c r="A207">
        <v>207</v>
      </c>
      <c r="B207">
        <v>21</v>
      </c>
      <c r="C207">
        <v>13</v>
      </c>
      <c r="D207">
        <v>20191111</v>
      </c>
      <c r="E207" t="s">
        <v>17</v>
      </c>
      <c r="F207">
        <v>2909.9746</v>
      </c>
      <c r="G207">
        <v>2949.9618999999998</v>
      </c>
      <c r="H207">
        <v>2949.9618999999998</v>
      </c>
      <c r="I207">
        <v>2906.7689999999998</v>
      </c>
      <c r="J207">
        <v>2964.1849000000002</v>
      </c>
      <c r="K207">
        <v>-54.210299999999997</v>
      </c>
      <c r="L207">
        <v>-1.8288</v>
      </c>
      <c r="M207">
        <v>157916105</v>
      </c>
      <c r="N207">
        <v>166285140.30000001</v>
      </c>
      <c r="O207">
        <v>36</v>
      </c>
      <c r="P207">
        <v>247</v>
      </c>
      <c r="Q207">
        <v>0.145748988</v>
      </c>
      <c r="R207">
        <v>1.0008203920000001</v>
      </c>
    </row>
    <row r="208" spans="1:18" x14ac:dyDescent="0.2">
      <c r="A208">
        <v>208</v>
      </c>
      <c r="B208">
        <v>32</v>
      </c>
      <c r="C208">
        <v>5</v>
      </c>
      <c r="D208">
        <v>20191112</v>
      </c>
      <c r="E208" t="s">
        <v>17</v>
      </c>
      <c r="F208">
        <v>2914.8231999999998</v>
      </c>
      <c r="G208">
        <v>2912.9956000000002</v>
      </c>
      <c r="H208">
        <v>2918.3029999999999</v>
      </c>
      <c r="I208">
        <v>2891.5104999999999</v>
      </c>
      <c r="J208">
        <v>2909.9746</v>
      </c>
      <c r="K208">
        <v>4.8486000000000002</v>
      </c>
      <c r="L208">
        <v>0.1666</v>
      </c>
      <c r="M208">
        <v>129729154</v>
      </c>
      <c r="N208">
        <v>139060726.19999999</v>
      </c>
      <c r="O208">
        <v>84</v>
      </c>
      <c r="P208">
        <v>28</v>
      </c>
      <c r="Q208">
        <v>3</v>
      </c>
      <c r="R208">
        <v>1.027203031</v>
      </c>
    </row>
    <row r="209" spans="1:18" x14ac:dyDescent="0.2">
      <c r="A209">
        <v>209</v>
      </c>
      <c r="B209">
        <v>31</v>
      </c>
      <c r="C209">
        <v>10</v>
      </c>
      <c r="D209">
        <v>20191113</v>
      </c>
      <c r="E209" t="s">
        <v>17</v>
      </c>
      <c r="F209">
        <v>2905.2408999999998</v>
      </c>
      <c r="G209">
        <v>2913.0196999999998</v>
      </c>
      <c r="H209">
        <v>2913.8611999999998</v>
      </c>
      <c r="I209">
        <v>2893.9712</v>
      </c>
      <c r="J209">
        <v>2914.8231999999998</v>
      </c>
      <c r="K209">
        <v>-9.5823</v>
      </c>
      <c r="L209">
        <v>-0.32869999999999999</v>
      </c>
      <c r="M209">
        <v>129765841</v>
      </c>
      <c r="N209">
        <v>146943636.69999999</v>
      </c>
      <c r="O209">
        <v>80</v>
      </c>
      <c r="P209">
        <v>32</v>
      </c>
      <c r="Q209">
        <v>2.5</v>
      </c>
      <c r="R209">
        <v>0.998676542</v>
      </c>
    </row>
    <row r="210" spans="1:18" x14ac:dyDescent="0.2">
      <c r="A210">
        <v>210</v>
      </c>
      <c r="B210">
        <v>41</v>
      </c>
      <c r="C210">
        <v>3</v>
      </c>
      <c r="D210">
        <v>20191114</v>
      </c>
      <c r="E210" t="s">
        <v>17</v>
      </c>
      <c r="F210">
        <v>2909.8697000000002</v>
      </c>
      <c r="G210">
        <v>2907.7357999999999</v>
      </c>
      <c r="H210">
        <v>2917.3739999999998</v>
      </c>
      <c r="I210">
        <v>2899.6185999999998</v>
      </c>
      <c r="J210">
        <v>2905.2408999999998</v>
      </c>
      <c r="K210">
        <v>4.6288</v>
      </c>
      <c r="L210">
        <v>0.1593</v>
      </c>
      <c r="M210">
        <v>129145448</v>
      </c>
      <c r="N210">
        <v>151576183.40000001</v>
      </c>
      <c r="O210">
        <v>121</v>
      </c>
      <c r="P210">
        <v>10</v>
      </c>
      <c r="Q210">
        <v>12.1</v>
      </c>
      <c r="R210">
        <v>1.0153953630000001</v>
      </c>
    </row>
    <row r="211" spans="1:18" x14ac:dyDescent="0.2">
      <c r="A211">
        <v>211</v>
      </c>
      <c r="B211">
        <v>29</v>
      </c>
      <c r="C211">
        <v>22</v>
      </c>
      <c r="D211">
        <v>20191115</v>
      </c>
      <c r="E211" t="s">
        <v>17</v>
      </c>
      <c r="F211">
        <v>2891.3431</v>
      </c>
      <c r="G211">
        <v>2911.35</v>
      </c>
      <c r="H211">
        <v>2917.8292999999999</v>
      </c>
      <c r="I211">
        <v>2891.2042999999999</v>
      </c>
      <c r="J211">
        <v>2909.8697000000002</v>
      </c>
      <c r="K211">
        <v>-18.526599999999998</v>
      </c>
      <c r="L211">
        <v>-0.63670000000000004</v>
      </c>
      <c r="M211">
        <v>135519463</v>
      </c>
      <c r="N211">
        <v>152576392.69999999</v>
      </c>
      <c r="O211">
        <v>62</v>
      </c>
      <c r="P211">
        <v>128</v>
      </c>
      <c r="Q211">
        <v>0.484375</v>
      </c>
      <c r="R211">
        <v>0.97923629400000001</v>
      </c>
    </row>
    <row r="212" spans="1:18" x14ac:dyDescent="0.2">
      <c r="A212">
        <v>212</v>
      </c>
      <c r="B212">
        <v>39</v>
      </c>
      <c r="C212">
        <v>4</v>
      </c>
      <c r="D212">
        <v>20191118</v>
      </c>
      <c r="E212" t="s">
        <v>17</v>
      </c>
      <c r="F212">
        <v>2909.2002000000002</v>
      </c>
      <c r="G212">
        <v>2889.5495000000001</v>
      </c>
      <c r="H212">
        <v>2911.3784000000001</v>
      </c>
      <c r="I212">
        <v>2884.0882999999999</v>
      </c>
      <c r="J212">
        <v>2891.3431</v>
      </c>
      <c r="K212">
        <v>17.857099999999999</v>
      </c>
      <c r="L212">
        <v>0.61760000000000004</v>
      </c>
      <c r="M212">
        <v>124433177</v>
      </c>
      <c r="N212">
        <v>144677413.69999999</v>
      </c>
      <c r="O212">
        <v>101</v>
      </c>
      <c r="P212">
        <v>22</v>
      </c>
      <c r="Q212">
        <v>4.5909090910000003</v>
      </c>
      <c r="R212">
        <v>0.99976685399999998</v>
      </c>
    </row>
    <row r="213" spans="1:18" x14ac:dyDescent="0.2">
      <c r="A213">
        <v>213</v>
      </c>
      <c r="B213">
        <v>59</v>
      </c>
      <c r="C213">
        <v>0</v>
      </c>
      <c r="D213">
        <v>20191119</v>
      </c>
      <c r="E213" t="s">
        <v>17</v>
      </c>
      <c r="F213">
        <v>2933.9908</v>
      </c>
      <c r="G213">
        <v>2904.2782999999999</v>
      </c>
      <c r="H213">
        <v>2933.9908</v>
      </c>
      <c r="I213">
        <v>2902.855</v>
      </c>
      <c r="J213">
        <v>2909.2002000000002</v>
      </c>
      <c r="K213">
        <v>24.790600000000001</v>
      </c>
      <c r="L213">
        <v>0.85209999999999997</v>
      </c>
      <c r="M213">
        <v>135417604</v>
      </c>
      <c r="N213">
        <v>155770741.30000001</v>
      </c>
      <c r="O213">
        <v>165</v>
      </c>
      <c r="P213">
        <v>2</v>
      </c>
      <c r="Q213">
        <v>82.5</v>
      </c>
      <c r="R213">
        <v>0.99511717200000005</v>
      </c>
    </row>
    <row r="214" spans="1:18" x14ac:dyDescent="0.2">
      <c r="A214">
        <v>214</v>
      </c>
      <c r="B214">
        <v>38</v>
      </c>
      <c r="C214">
        <v>3</v>
      </c>
      <c r="D214">
        <v>20191120</v>
      </c>
      <c r="E214" t="s">
        <v>17</v>
      </c>
      <c r="F214">
        <v>2911.0533999999998</v>
      </c>
      <c r="G214">
        <v>2928.1068</v>
      </c>
      <c r="H214">
        <v>2930.4929000000002</v>
      </c>
      <c r="I214">
        <v>2907.4229</v>
      </c>
      <c r="J214">
        <v>2933.9908</v>
      </c>
      <c r="K214">
        <v>-22.9374</v>
      </c>
      <c r="L214">
        <v>-0.78180000000000005</v>
      </c>
      <c r="M214">
        <v>137357530</v>
      </c>
      <c r="N214">
        <v>158543195.59999999</v>
      </c>
      <c r="O214">
        <v>71</v>
      </c>
      <c r="P214">
        <v>27</v>
      </c>
      <c r="Q214">
        <v>2.6296296300000002</v>
      </c>
      <c r="R214">
        <v>0.98501568500000003</v>
      </c>
    </row>
    <row r="215" spans="1:18" x14ac:dyDescent="0.2">
      <c r="A215">
        <v>215</v>
      </c>
      <c r="B215">
        <v>30</v>
      </c>
      <c r="C215">
        <v>2</v>
      </c>
      <c r="D215">
        <v>20191121</v>
      </c>
      <c r="E215" t="s">
        <v>17</v>
      </c>
      <c r="F215">
        <v>2903.6379000000002</v>
      </c>
      <c r="G215">
        <v>2902.5529000000001</v>
      </c>
      <c r="H215">
        <v>2910.3607999999999</v>
      </c>
      <c r="I215">
        <v>2891.5313999999998</v>
      </c>
      <c r="J215">
        <v>2911.0533999999998</v>
      </c>
      <c r="K215">
        <v>-7.4154999999999998</v>
      </c>
      <c r="L215">
        <v>-0.25469999999999998</v>
      </c>
      <c r="M215">
        <v>123458607</v>
      </c>
      <c r="N215">
        <v>139851207.90000001</v>
      </c>
      <c r="O215">
        <v>62</v>
      </c>
      <c r="P215">
        <v>24</v>
      </c>
      <c r="Q215">
        <v>2.5833333330000001</v>
      </c>
      <c r="R215">
        <v>0.99270516099999995</v>
      </c>
    </row>
    <row r="216" spans="1:18" x14ac:dyDescent="0.2">
      <c r="A216">
        <v>216</v>
      </c>
      <c r="B216">
        <v>26</v>
      </c>
      <c r="C216">
        <v>13</v>
      </c>
      <c r="D216">
        <v>20191122</v>
      </c>
      <c r="E216" t="s">
        <v>17</v>
      </c>
      <c r="F216">
        <v>2885.2883999999999</v>
      </c>
      <c r="G216">
        <v>2906.2433000000001</v>
      </c>
      <c r="H216">
        <v>2925.0178000000001</v>
      </c>
      <c r="I216">
        <v>2873.99</v>
      </c>
      <c r="J216">
        <v>2903.6379000000002</v>
      </c>
      <c r="K216">
        <v>-18.349499999999999</v>
      </c>
      <c r="L216">
        <v>-0.63190000000000002</v>
      </c>
      <c r="M216">
        <v>158623365</v>
      </c>
      <c r="N216">
        <v>180593829.19999999</v>
      </c>
      <c r="O216">
        <v>55</v>
      </c>
      <c r="P216">
        <v>100</v>
      </c>
      <c r="Q216">
        <v>0.55000000000000004</v>
      </c>
      <c r="R216">
        <v>0.98563758300000004</v>
      </c>
    </row>
    <row r="217" spans="1:18" x14ac:dyDescent="0.2">
      <c r="A217">
        <v>217</v>
      </c>
      <c r="B217">
        <v>38</v>
      </c>
      <c r="C217">
        <v>29</v>
      </c>
      <c r="D217">
        <v>20191125</v>
      </c>
      <c r="E217" t="s">
        <v>17</v>
      </c>
      <c r="F217">
        <v>2906.1687999999999</v>
      </c>
      <c r="G217">
        <v>2885.6133</v>
      </c>
      <c r="H217">
        <v>2906.6091000000001</v>
      </c>
      <c r="I217">
        <v>2880.6541999999999</v>
      </c>
      <c r="J217">
        <v>2885.2883999999999</v>
      </c>
      <c r="K217">
        <v>20.880400000000002</v>
      </c>
      <c r="L217">
        <v>0.72370000000000001</v>
      </c>
      <c r="M217">
        <v>178587429</v>
      </c>
      <c r="N217">
        <v>174234583.30000001</v>
      </c>
      <c r="O217">
        <v>93</v>
      </c>
      <c r="P217">
        <v>172</v>
      </c>
      <c r="Q217">
        <v>0.54069767400000002</v>
      </c>
      <c r="R217">
        <v>0.99110825000000002</v>
      </c>
    </row>
    <row r="218" spans="1:18" x14ac:dyDescent="0.2">
      <c r="A218">
        <v>218</v>
      </c>
      <c r="B218">
        <v>27</v>
      </c>
      <c r="C218">
        <v>12</v>
      </c>
      <c r="D218">
        <v>20191126</v>
      </c>
      <c r="E218" t="s">
        <v>17</v>
      </c>
      <c r="F218">
        <v>2907.0601999999999</v>
      </c>
      <c r="G218">
        <v>2912.5209</v>
      </c>
      <c r="H218">
        <v>2915.0410999999999</v>
      </c>
      <c r="I218">
        <v>2897.9276</v>
      </c>
      <c r="J218">
        <v>2906.1687999999999</v>
      </c>
      <c r="K218">
        <v>0.89139999999999997</v>
      </c>
      <c r="L218">
        <v>3.0700000000000002E-2</v>
      </c>
      <c r="M218">
        <v>170004663</v>
      </c>
      <c r="N218">
        <v>165496766.19999999</v>
      </c>
      <c r="O218">
        <v>73</v>
      </c>
      <c r="P218">
        <v>42</v>
      </c>
      <c r="Q218">
        <v>1.7380952380000001</v>
      </c>
      <c r="R218">
        <v>0.97013371400000004</v>
      </c>
    </row>
    <row r="219" spans="1:18" x14ac:dyDescent="0.2">
      <c r="A219">
        <v>219</v>
      </c>
      <c r="B219">
        <v>23</v>
      </c>
      <c r="C219">
        <v>8</v>
      </c>
      <c r="D219">
        <v>20191127</v>
      </c>
      <c r="E219" t="s">
        <v>17</v>
      </c>
      <c r="F219">
        <v>2903.1947</v>
      </c>
      <c r="G219">
        <v>2905.3959</v>
      </c>
      <c r="H219">
        <v>2914.4865</v>
      </c>
      <c r="I219">
        <v>2893.4175</v>
      </c>
      <c r="J219">
        <v>2907.0601999999999</v>
      </c>
      <c r="K219">
        <v>-3.8654999999999999</v>
      </c>
      <c r="L219">
        <v>-0.13300000000000001</v>
      </c>
      <c r="M219">
        <v>133862205</v>
      </c>
      <c r="N219">
        <v>137449697.19999999</v>
      </c>
      <c r="O219">
        <v>64</v>
      </c>
      <c r="P219">
        <v>29</v>
      </c>
      <c r="Q219">
        <v>2.2068965519999999</v>
      </c>
      <c r="R219">
        <v>0.99327877899999995</v>
      </c>
    </row>
    <row r="220" spans="1:18" x14ac:dyDescent="0.2">
      <c r="A220">
        <v>220</v>
      </c>
      <c r="B220">
        <v>25</v>
      </c>
      <c r="C220">
        <v>10</v>
      </c>
      <c r="D220">
        <v>20191128</v>
      </c>
      <c r="E220" t="s">
        <v>17</v>
      </c>
      <c r="F220">
        <v>2889.6934000000001</v>
      </c>
      <c r="G220">
        <v>2902.3643999999999</v>
      </c>
      <c r="H220">
        <v>2909.8398000000002</v>
      </c>
      <c r="I220">
        <v>2883.4339</v>
      </c>
      <c r="J220">
        <v>2903.1947</v>
      </c>
      <c r="K220">
        <v>-13.501300000000001</v>
      </c>
      <c r="L220">
        <v>-0.46500000000000002</v>
      </c>
      <c r="M220">
        <v>119522468</v>
      </c>
      <c r="N220">
        <v>122616545.2</v>
      </c>
      <c r="O220">
        <v>53</v>
      </c>
      <c r="P220">
        <v>24</v>
      </c>
      <c r="Q220">
        <v>2.2083333330000001</v>
      </c>
      <c r="R220">
        <v>1.0010250300000001</v>
      </c>
    </row>
    <row r="221" spans="1:18" x14ac:dyDescent="0.2">
      <c r="A221">
        <v>221</v>
      </c>
      <c r="B221">
        <v>28</v>
      </c>
      <c r="C221">
        <v>6</v>
      </c>
      <c r="D221">
        <v>20191129</v>
      </c>
      <c r="E221" t="s">
        <v>17</v>
      </c>
      <c r="F221">
        <v>2871.9812999999999</v>
      </c>
      <c r="G221">
        <v>2885.9744000000001</v>
      </c>
      <c r="H221">
        <v>2892.3881999999999</v>
      </c>
      <c r="I221">
        <v>2858.5808000000002</v>
      </c>
      <c r="J221">
        <v>2889.6934000000001</v>
      </c>
      <c r="K221">
        <v>-17.7121</v>
      </c>
      <c r="L221">
        <v>-0.6129</v>
      </c>
      <c r="M221">
        <v>122612968</v>
      </c>
      <c r="N221">
        <v>140371316.40000001</v>
      </c>
      <c r="O221">
        <v>54</v>
      </c>
      <c r="P221">
        <v>26</v>
      </c>
      <c r="Q221">
        <v>2.076923077</v>
      </c>
      <c r="R221">
        <v>0.98768214799999998</v>
      </c>
    </row>
    <row r="222" spans="1:18" x14ac:dyDescent="0.2">
      <c r="A222">
        <v>222</v>
      </c>
      <c r="B222">
        <v>29</v>
      </c>
      <c r="C222">
        <v>4</v>
      </c>
      <c r="D222">
        <v>20191202</v>
      </c>
      <c r="E222" t="s">
        <v>17</v>
      </c>
      <c r="F222">
        <v>2875.8072000000002</v>
      </c>
      <c r="G222">
        <v>2874.4484000000002</v>
      </c>
      <c r="H222">
        <v>2888.8897000000002</v>
      </c>
      <c r="I222">
        <v>2870.2424000000001</v>
      </c>
      <c r="J222">
        <v>2871.9812999999999</v>
      </c>
      <c r="K222">
        <v>3.8258999999999999</v>
      </c>
      <c r="L222">
        <v>0.13320000000000001</v>
      </c>
      <c r="M222">
        <v>128755806</v>
      </c>
      <c r="N222">
        <v>139351761.5</v>
      </c>
      <c r="O222">
        <v>78</v>
      </c>
      <c r="P222">
        <v>24</v>
      </c>
      <c r="Q222">
        <v>3.25</v>
      </c>
      <c r="R222">
        <v>1.0154497469999999</v>
      </c>
    </row>
    <row r="223" spans="1:18" x14ac:dyDescent="0.2">
      <c r="A223">
        <v>223</v>
      </c>
      <c r="B223">
        <v>36</v>
      </c>
      <c r="C223">
        <v>4</v>
      </c>
      <c r="D223">
        <v>20191203</v>
      </c>
      <c r="E223" t="s">
        <v>17</v>
      </c>
      <c r="F223">
        <v>2884.6988000000001</v>
      </c>
      <c r="G223">
        <v>2869.8822</v>
      </c>
      <c r="H223">
        <v>2884.8559</v>
      </c>
      <c r="I223">
        <v>2857.3204000000001</v>
      </c>
      <c r="J223">
        <v>2875.8072000000002</v>
      </c>
      <c r="K223">
        <v>8.8916000000000004</v>
      </c>
      <c r="L223">
        <v>0.30919999999999997</v>
      </c>
      <c r="M223">
        <v>123778742</v>
      </c>
      <c r="N223">
        <v>135278611.90000001</v>
      </c>
      <c r="O223">
        <v>76</v>
      </c>
      <c r="P223">
        <v>18</v>
      </c>
      <c r="Q223">
        <v>4.2222222220000001</v>
      </c>
      <c r="R223">
        <v>1.000400843</v>
      </c>
    </row>
    <row r="224" spans="1:18" x14ac:dyDescent="0.2">
      <c r="A224">
        <v>224</v>
      </c>
      <c r="B224">
        <v>27</v>
      </c>
      <c r="C224">
        <v>3</v>
      </c>
      <c r="D224">
        <v>20191204</v>
      </c>
      <c r="E224" t="s">
        <v>17</v>
      </c>
      <c r="F224">
        <v>2878.1156999999998</v>
      </c>
      <c r="G224">
        <v>2876.9079000000002</v>
      </c>
      <c r="H224">
        <v>2882.4980999999998</v>
      </c>
      <c r="I224">
        <v>2869.4218999999998</v>
      </c>
      <c r="J224">
        <v>2884.6988000000001</v>
      </c>
      <c r="K224">
        <v>-6.5831</v>
      </c>
      <c r="L224">
        <v>-0.22819999999999999</v>
      </c>
      <c r="M224">
        <v>125543653</v>
      </c>
      <c r="N224">
        <v>135879221.5</v>
      </c>
      <c r="O224">
        <v>65</v>
      </c>
      <c r="P224">
        <v>17</v>
      </c>
      <c r="Q224">
        <v>3.8235294120000001</v>
      </c>
      <c r="R224">
        <v>1.004527041</v>
      </c>
    </row>
    <row r="225" spans="1:18" x14ac:dyDescent="0.2">
      <c r="A225">
        <v>225</v>
      </c>
      <c r="B225">
        <v>38</v>
      </c>
      <c r="C225">
        <v>1</v>
      </c>
      <c r="D225">
        <v>20191205</v>
      </c>
      <c r="E225" t="s">
        <v>17</v>
      </c>
      <c r="F225">
        <v>2899.4684999999999</v>
      </c>
      <c r="G225">
        <v>2886.5164</v>
      </c>
      <c r="H225">
        <v>2902.002</v>
      </c>
      <c r="I225">
        <v>2885.0798</v>
      </c>
      <c r="J225">
        <v>2878.1156999999998</v>
      </c>
      <c r="K225">
        <v>21.352799999999998</v>
      </c>
      <c r="L225">
        <v>0.7419</v>
      </c>
      <c r="M225">
        <v>143163096</v>
      </c>
      <c r="N225">
        <v>159736592.30000001</v>
      </c>
      <c r="O225">
        <v>90</v>
      </c>
      <c r="P225">
        <v>6</v>
      </c>
      <c r="Q225">
        <v>15</v>
      </c>
      <c r="R225">
        <v>0.99981271900000002</v>
      </c>
    </row>
    <row r="226" spans="1:18" x14ac:dyDescent="0.2">
      <c r="A226">
        <v>226</v>
      </c>
      <c r="B226">
        <v>44</v>
      </c>
      <c r="C226">
        <v>4</v>
      </c>
      <c r="D226">
        <v>20191206</v>
      </c>
      <c r="E226" t="s">
        <v>17</v>
      </c>
      <c r="F226">
        <v>2912.0136000000002</v>
      </c>
      <c r="G226">
        <v>2902.2779999999998</v>
      </c>
      <c r="H226">
        <v>2912.0136000000002</v>
      </c>
      <c r="I226">
        <v>2894.7512999999999</v>
      </c>
      <c r="J226">
        <v>2899.4684999999999</v>
      </c>
      <c r="K226">
        <v>12.5451</v>
      </c>
      <c r="L226">
        <v>0.43269999999999997</v>
      </c>
      <c r="M226">
        <v>134128878</v>
      </c>
      <c r="N226">
        <v>149507333.30000001</v>
      </c>
      <c r="O226">
        <v>96</v>
      </c>
      <c r="P226">
        <v>18</v>
      </c>
      <c r="Q226">
        <v>5.3333333329999997</v>
      </c>
      <c r="R226">
        <v>1.0005395159999999</v>
      </c>
    </row>
    <row r="227" spans="1:18" x14ac:dyDescent="0.2">
      <c r="A227">
        <v>227</v>
      </c>
      <c r="B227">
        <v>30</v>
      </c>
      <c r="C227">
        <v>5</v>
      </c>
      <c r="D227">
        <v>20191209</v>
      </c>
      <c r="E227" t="s">
        <v>17</v>
      </c>
      <c r="F227">
        <v>2914.4775</v>
      </c>
      <c r="G227">
        <v>2914.4576000000002</v>
      </c>
      <c r="H227">
        <v>2919.5888</v>
      </c>
      <c r="I227">
        <v>2905.2503000000002</v>
      </c>
      <c r="J227">
        <v>2912.0136000000002</v>
      </c>
      <c r="K227">
        <v>2.4639000000000002</v>
      </c>
      <c r="L227">
        <v>8.4599999999999995E-2</v>
      </c>
      <c r="M227">
        <v>160796527</v>
      </c>
      <c r="N227">
        <v>174546478.19999999</v>
      </c>
      <c r="O227">
        <v>96</v>
      </c>
      <c r="P227">
        <v>21</v>
      </c>
      <c r="Q227">
        <v>4.5714285710000002</v>
      </c>
      <c r="R227">
        <v>0.99080726900000005</v>
      </c>
    </row>
    <row r="228" spans="1:18" x14ac:dyDescent="0.2">
      <c r="A228">
        <v>228</v>
      </c>
      <c r="B228">
        <v>42</v>
      </c>
      <c r="C228">
        <v>2</v>
      </c>
      <c r="D228">
        <v>20191210</v>
      </c>
      <c r="E228" t="s">
        <v>17</v>
      </c>
      <c r="F228">
        <v>2917.3157000000001</v>
      </c>
      <c r="G228">
        <v>2908.9439000000002</v>
      </c>
      <c r="H228">
        <v>2919.2011000000002</v>
      </c>
      <c r="I228">
        <v>2902.7896000000001</v>
      </c>
      <c r="J228">
        <v>2914.4775</v>
      </c>
      <c r="K228">
        <v>2.8382000000000001</v>
      </c>
      <c r="L228">
        <v>9.74E-2</v>
      </c>
      <c r="M228">
        <v>170123998</v>
      </c>
      <c r="N228">
        <v>180617291.5</v>
      </c>
      <c r="O228">
        <v>128</v>
      </c>
      <c r="P228">
        <v>7</v>
      </c>
      <c r="Q228">
        <v>18.285714290000001</v>
      </c>
      <c r="R228">
        <v>1.0250435010000001</v>
      </c>
    </row>
    <row r="229" spans="1:18" x14ac:dyDescent="0.2">
      <c r="A229">
        <v>229</v>
      </c>
      <c r="B229">
        <v>35</v>
      </c>
      <c r="C229">
        <v>5</v>
      </c>
      <c r="D229">
        <v>20191211</v>
      </c>
      <c r="E229" t="s">
        <v>17</v>
      </c>
      <c r="F229">
        <v>2924.4173000000001</v>
      </c>
      <c r="G229">
        <v>2922.6019999999999</v>
      </c>
      <c r="H229">
        <v>2928.2564000000002</v>
      </c>
      <c r="I229">
        <v>2915.0007999999998</v>
      </c>
      <c r="J229">
        <v>2917.3157000000001</v>
      </c>
      <c r="K229">
        <v>7.1016000000000004</v>
      </c>
      <c r="L229">
        <v>0.24340000000000001</v>
      </c>
      <c r="M229">
        <v>165541087</v>
      </c>
      <c r="N229">
        <v>175716091.69999999</v>
      </c>
      <c r="O229">
        <v>69</v>
      </c>
      <c r="P229">
        <v>30</v>
      </c>
      <c r="Q229">
        <v>2.2999999999999998</v>
      </c>
      <c r="R229">
        <v>0.98532388800000004</v>
      </c>
    </row>
    <row r="230" spans="1:18" x14ac:dyDescent="0.2">
      <c r="A230">
        <v>230</v>
      </c>
      <c r="B230">
        <v>33</v>
      </c>
      <c r="C230">
        <v>7</v>
      </c>
      <c r="D230">
        <v>20191212</v>
      </c>
      <c r="E230" t="s">
        <v>17</v>
      </c>
      <c r="F230">
        <v>2915.9322999999999</v>
      </c>
      <c r="G230">
        <v>2926.3416000000002</v>
      </c>
      <c r="H230">
        <v>2926.3416000000002</v>
      </c>
      <c r="I230">
        <v>2913.4755</v>
      </c>
      <c r="J230">
        <v>2924.4173000000001</v>
      </c>
      <c r="K230">
        <v>-8.4849999999999994</v>
      </c>
      <c r="L230">
        <v>-0.29010000000000002</v>
      </c>
      <c r="M230">
        <v>151534230</v>
      </c>
      <c r="N230">
        <v>165845540.09999999</v>
      </c>
      <c r="O230">
        <v>72</v>
      </c>
      <c r="P230">
        <v>32</v>
      </c>
      <c r="Q230">
        <v>2.25</v>
      </c>
      <c r="R230">
        <v>0.99086205500000002</v>
      </c>
    </row>
    <row r="231" spans="1:18" x14ac:dyDescent="0.2">
      <c r="A231">
        <v>231</v>
      </c>
      <c r="B231">
        <v>39</v>
      </c>
      <c r="C231">
        <v>3</v>
      </c>
      <c r="D231">
        <v>20191213</v>
      </c>
      <c r="E231" t="s">
        <v>17</v>
      </c>
      <c r="F231">
        <v>2967.6763999999998</v>
      </c>
      <c r="G231">
        <v>2937.7763</v>
      </c>
      <c r="H231">
        <v>2969.9809</v>
      </c>
      <c r="I231">
        <v>2935.8490000000002</v>
      </c>
      <c r="J231">
        <v>2915.6983</v>
      </c>
      <c r="K231">
        <v>51.978099999999998</v>
      </c>
      <c r="L231">
        <v>1.7827</v>
      </c>
      <c r="M231">
        <v>211978585</v>
      </c>
      <c r="N231">
        <v>234036541.40000001</v>
      </c>
      <c r="O231">
        <v>115</v>
      </c>
      <c r="P231">
        <v>16</v>
      </c>
      <c r="Q231">
        <v>7.1875</v>
      </c>
      <c r="R231">
        <v>0.98159772999999995</v>
      </c>
    </row>
    <row r="232" spans="1:18" x14ac:dyDescent="0.2">
      <c r="A232">
        <v>232</v>
      </c>
      <c r="B232">
        <v>62</v>
      </c>
      <c r="C232">
        <v>1</v>
      </c>
      <c r="D232">
        <v>20191216</v>
      </c>
      <c r="E232" t="s">
        <v>17</v>
      </c>
      <c r="F232">
        <v>2984.3924999999999</v>
      </c>
      <c r="G232">
        <v>2970.9694</v>
      </c>
      <c r="H232">
        <v>2984.6414</v>
      </c>
      <c r="I232">
        <v>2958.7064</v>
      </c>
      <c r="J232">
        <v>2967.6763999999998</v>
      </c>
      <c r="K232">
        <v>16.716100000000001</v>
      </c>
      <c r="L232">
        <v>0.56330000000000002</v>
      </c>
      <c r="M232">
        <v>211862119</v>
      </c>
      <c r="N232">
        <v>237666763.19999999</v>
      </c>
      <c r="O232">
        <v>174</v>
      </c>
      <c r="P232">
        <v>3</v>
      </c>
      <c r="Q232">
        <v>58</v>
      </c>
      <c r="R232">
        <v>1.013287069</v>
      </c>
    </row>
    <row r="233" spans="1:18" x14ac:dyDescent="0.2">
      <c r="A233">
        <v>233</v>
      </c>
      <c r="B233">
        <v>51</v>
      </c>
      <c r="C233">
        <v>1</v>
      </c>
      <c r="D233">
        <v>20191217</v>
      </c>
      <c r="E233" t="s">
        <v>17</v>
      </c>
      <c r="F233">
        <v>3022.4218999999998</v>
      </c>
      <c r="G233">
        <v>2985.2619</v>
      </c>
      <c r="H233">
        <v>3039.3834000000002</v>
      </c>
      <c r="I233">
        <v>2982.4956000000002</v>
      </c>
      <c r="J233">
        <v>2984.3924999999999</v>
      </c>
      <c r="K233">
        <v>38.029400000000003</v>
      </c>
      <c r="L233">
        <v>1.2743</v>
      </c>
      <c r="M233">
        <v>293032254</v>
      </c>
      <c r="N233">
        <v>302090897.5</v>
      </c>
      <c r="O233">
        <v>127</v>
      </c>
      <c r="P233">
        <v>4</v>
      </c>
      <c r="Q233">
        <v>31.75</v>
      </c>
      <c r="R233">
        <v>1.0073895470000001</v>
      </c>
    </row>
    <row r="234" spans="1:18" x14ac:dyDescent="0.2">
      <c r="A234">
        <v>234</v>
      </c>
      <c r="B234">
        <v>53</v>
      </c>
      <c r="C234">
        <v>1</v>
      </c>
      <c r="D234">
        <v>20191218</v>
      </c>
      <c r="E234" t="s">
        <v>17</v>
      </c>
      <c r="F234">
        <v>3017.0444000000002</v>
      </c>
      <c r="G234">
        <v>3021.4657000000002</v>
      </c>
      <c r="H234">
        <v>3033.2337000000002</v>
      </c>
      <c r="I234">
        <v>3011.7206999999999</v>
      </c>
      <c r="J234">
        <v>3022.4218999999998</v>
      </c>
      <c r="K234">
        <v>-5.3775000000000004</v>
      </c>
      <c r="L234">
        <v>-0.1779</v>
      </c>
      <c r="M234">
        <v>244089691</v>
      </c>
      <c r="N234">
        <v>259173631.80000001</v>
      </c>
      <c r="O234">
        <v>109</v>
      </c>
      <c r="P234">
        <v>3</v>
      </c>
      <c r="Q234">
        <v>36.333333330000002</v>
      </c>
      <c r="R234">
        <v>1.005798722</v>
      </c>
    </row>
    <row r="235" spans="1:18" x14ac:dyDescent="0.2">
      <c r="A235">
        <v>235</v>
      </c>
      <c r="B235">
        <v>52</v>
      </c>
      <c r="C235">
        <v>5</v>
      </c>
      <c r="D235">
        <v>20191219</v>
      </c>
      <c r="E235" t="s">
        <v>17</v>
      </c>
      <c r="F235">
        <v>3017.0657999999999</v>
      </c>
      <c r="G235">
        <v>3017.1529999999998</v>
      </c>
      <c r="H235">
        <v>3021.4176000000002</v>
      </c>
      <c r="I235">
        <v>3007.9920000000002</v>
      </c>
      <c r="J235">
        <v>3017.0444000000002</v>
      </c>
      <c r="K235">
        <v>2.1399999999999999E-2</v>
      </c>
      <c r="L235">
        <v>6.9999999999999999E-4</v>
      </c>
      <c r="M235">
        <v>208624264</v>
      </c>
      <c r="N235">
        <v>220688292.40000001</v>
      </c>
      <c r="O235">
        <v>102</v>
      </c>
      <c r="P235">
        <v>54</v>
      </c>
      <c r="Q235">
        <v>1.888888889</v>
      </c>
      <c r="R235">
        <v>0.99115704100000002</v>
      </c>
    </row>
    <row r="236" spans="1:18" x14ac:dyDescent="0.2">
      <c r="A236">
        <v>236</v>
      </c>
      <c r="B236">
        <v>47</v>
      </c>
      <c r="C236">
        <v>3</v>
      </c>
      <c r="D236">
        <v>20191220</v>
      </c>
      <c r="E236" t="s">
        <v>17</v>
      </c>
      <c r="F236">
        <v>3004.9376000000002</v>
      </c>
      <c r="G236">
        <v>3019.6395000000002</v>
      </c>
      <c r="H236">
        <v>3027.4834999999998</v>
      </c>
      <c r="I236">
        <v>3002.2601</v>
      </c>
      <c r="J236">
        <v>3017.0657999999999</v>
      </c>
      <c r="K236">
        <v>-12.1282</v>
      </c>
      <c r="L236">
        <v>-0.40200000000000002</v>
      </c>
      <c r="M236">
        <v>215075755</v>
      </c>
      <c r="N236">
        <v>223305036</v>
      </c>
      <c r="O236">
        <v>78</v>
      </c>
      <c r="P236">
        <v>86</v>
      </c>
      <c r="Q236">
        <v>0.90697674399999995</v>
      </c>
      <c r="R236">
        <v>0.97417427400000001</v>
      </c>
    </row>
    <row r="237" spans="1:18" x14ac:dyDescent="0.2">
      <c r="A237">
        <v>237</v>
      </c>
      <c r="B237">
        <v>25</v>
      </c>
      <c r="C237">
        <v>33</v>
      </c>
      <c r="D237">
        <v>20191223</v>
      </c>
      <c r="E237" t="s">
        <v>17</v>
      </c>
      <c r="F237">
        <v>2962.7512999999999</v>
      </c>
      <c r="G237">
        <v>2999.0356999999999</v>
      </c>
      <c r="H237">
        <v>3009.3380000000002</v>
      </c>
      <c r="I237">
        <v>2960.4349999999999</v>
      </c>
      <c r="J237">
        <v>3004.9376000000002</v>
      </c>
      <c r="K237">
        <v>-42.186300000000003</v>
      </c>
      <c r="L237">
        <v>-1.4038999999999999</v>
      </c>
      <c r="M237">
        <v>205716617</v>
      </c>
      <c r="N237">
        <v>218484273.09999999</v>
      </c>
      <c r="O237">
        <v>43</v>
      </c>
      <c r="P237">
        <v>250</v>
      </c>
      <c r="Q237">
        <v>0.17199999999999999</v>
      </c>
      <c r="R237">
        <v>0.97094694400000003</v>
      </c>
    </row>
    <row r="238" spans="1:18" x14ac:dyDescent="0.2">
      <c r="A238">
        <v>238</v>
      </c>
      <c r="B238">
        <v>51</v>
      </c>
      <c r="C238">
        <v>5</v>
      </c>
      <c r="D238">
        <v>20191224</v>
      </c>
      <c r="E238" t="s">
        <v>17</v>
      </c>
      <c r="F238">
        <v>2982.6806000000001</v>
      </c>
      <c r="G238">
        <v>2965.8258000000001</v>
      </c>
      <c r="H238">
        <v>2983.8193999999999</v>
      </c>
      <c r="I238">
        <v>2960.6839</v>
      </c>
      <c r="J238">
        <v>2962.7512999999999</v>
      </c>
      <c r="K238">
        <v>19.929300000000001</v>
      </c>
      <c r="L238">
        <v>0.67269999999999996</v>
      </c>
      <c r="M238">
        <v>163030250</v>
      </c>
      <c r="N238">
        <v>167366667.30000001</v>
      </c>
      <c r="O238">
        <v>193</v>
      </c>
      <c r="P238">
        <v>18</v>
      </c>
      <c r="Q238">
        <v>10.722222220000001</v>
      </c>
      <c r="R238">
        <v>0.99937880199999996</v>
      </c>
    </row>
    <row r="239" spans="1:18" x14ac:dyDescent="0.2">
      <c r="A239">
        <v>239</v>
      </c>
      <c r="B239">
        <v>44</v>
      </c>
      <c r="C239">
        <v>0</v>
      </c>
      <c r="D239">
        <v>20191225</v>
      </c>
      <c r="E239" t="s">
        <v>17</v>
      </c>
      <c r="F239">
        <v>2981.8805000000002</v>
      </c>
      <c r="G239">
        <v>2980.4276</v>
      </c>
      <c r="H239">
        <v>2988.2923999999998</v>
      </c>
      <c r="I239">
        <v>2970.6572000000001</v>
      </c>
      <c r="J239">
        <v>2982.6806000000001</v>
      </c>
      <c r="K239">
        <v>-0.80010000000000003</v>
      </c>
      <c r="L239">
        <v>-2.6800000000000001E-2</v>
      </c>
      <c r="M239">
        <v>175654028</v>
      </c>
      <c r="N239">
        <v>189608562.69999999</v>
      </c>
      <c r="O239">
        <v>110</v>
      </c>
      <c r="P239">
        <v>10</v>
      </c>
      <c r="Q239">
        <v>11</v>
      </c>
      <c r="R239">
        <v>1.0059282940000001</v>
      </c>
    </row>
    <row r="240" spans="1:18" x14ac:dyDescent="0.2">
      <c r="A240">
        <v>240</v>
      </c>
      <c r="B240">
        <v>53</v>
      </c>
      <c r="C240">
        <v>0</v>
      </c>
      <c r="D240">
        <v>20191226</v>
      </c>
      <c r="E240" t="s">
        <v>17</v>
      </c>
      <c r="F240">
        <v>3007.3546000000001</v>
      </c>
      <c r="G240">
        <v>2981.2485000000001</v>
      </c>
      <c r="H240">
        <v>3007.3546000000001</v>
      </c>
      <c r="I240">
        <v>2980.3966</v>
      </c>
      <c r="J240">
        <v>2981.8805000000002</v>
      </c>
      <c r="K240">
        <v>25.4741</v>
      </c>
      <c r="L240">
        <v>0.85429999999999995</v>
      </c>
      <c r="M240">
        <v>182440426</v>
      </c>
      <c r="N240">
        <v>195586079.09999999</v>
      </c>
      <c r="O240">
        <v>141</v>
      </c>
      <c r="P240">
        <v>7</v>
      </c>
      <c r="Q240">
        <v>20.14285714</v>
      </c>
      <c r="R240">
        <v>1.011574405</v>
      </c>
    </row>
    <row r="241" spans="1:18" x14ac:dyDescent="0.2">
      <c r="A241">
        <v>241</v>
      </c>
      <c r="B241">
        <v>43</v>
      </c>
      <c r="C241">
        <v>2</v>
      </c>
      <c r="D241">
        <v>20191227</v>
      </c>
      <c r="E241" t="s">
        <v>17</v>
      </c>
      <c r="F241">
        <v>3005.0355</v>
      </c>
      <c r="G241">
        <v>3006.8517000000002</v>
      </c>
      <c r="H241">
        <v>3036.1127000000001</v>
      </c>
      <c r="I241">
        <v>3003.6309000000001</v>
      </c>
      <c r="J241">
        <v>3007.3546000000001</v>
      </c>
      <c r="K241">
        <v>-2.3191000000000002</v>
      </c>
      <c r="L241">
        <v>-7.7100000000000002E-2</v>
      </c>
      <c r="M241">
        <v>247102779</v>
      </c>
      <c r="N241">
        <v>258118739.40000001</v>
      </c>
      <c r="O241">
        <v>86</v>
      </c>
      <c r="P241">
        <v>64</v>
      </c>
      <c r="Q241">
        <v>1.34375</v>
      </c>
      <c r="R241">
        <v>0.98132156800000003</v>
      </c>
    </row>
    <row r="242" spans="1:18" x14ac:dyDescent="0.2">
      <c r="A242">
        <v>242</v>
      </c>
      <c r="B242">
        <v>46</v>
      </c>
      <c r="C242">
        <v>13</v>
      </c>
      <c r="D242">
        <v>20191230</v>
      </c>
      <c r="E242" t="s">
        <v>17</v>
      </c>
      <c r="F242">
        <v>3040.0239000000001</v>
      </c>
      <c r="G242">
        <v>2998.1689000000001</v>
      </c>
      <c r="H242">
        <v>3041.3969000000002</v>
      </c>
      <c r="I242">
        <v>2983.3436000000002</v>
      </c>
      <c r="J242">
        <v>3005.0355</v>
      </c>
      <c r="K242">
        <v>34.988399999999999</v>
      </c>
      <c r="L242">
        <v>1.1642999999999999</v>
      </c>
      <c r="M242">
        <v>248066530</v>
      </c>
      <c r="N242">
        <v>267382994.40000001</v>
      </c>
      <c r="O242">
        <v>126</v>
      </c>
      <c r="P242">
        <v>65</v>
      </c>
      <c r="Q242">
        <v>1.9384615380000001</v>
      </c>
      <c r="R242">
        <v>0.99620199899999995</v>
      </c>
    </row>
    <row r="243" spans="1:18" x14ac:dyDescent="0.2">
      <c r="A243">
        <v>243</v>
      </c>
      <c r="B243">
        <v>49</v>
      </c>
      <c r="C243">
        <v>3</v>
      </c>
      <c r="D243">
        <v>20191231</v>
      </c>
      <c r="E243" t="s">
        <v>17</v>
      </c>
      <c r="F243">
        <v>3050.1239999999998</v>
      </c>
      <c r="G243">
        <v>3036.3858</v>
      </c>
      <c r="H243">
        <v>3051.6770000000001</v>
      </c>
      <c r="I243">
        <v>3030.5122000000001</v>
      </c>
      <c r="J243">
        <v>3040.0239000000001</v>
      </c>
      <c r="K243">
        <v>10.100099999999999</v>
      </c>
      <c r="L243">
        <v>0.3322</v>
      </c>
      <c r="M243">
        <v>217429022</v>
      </c>
      <c r="N243">
        <v>226763991.30000001</v>
      </c>
      <c r="O243">
        <v>116</v>
      </c>
      <c r="P243">
        <v>14</v>
      </c>
      <c r="Q243">
        <v>8.2857142859999993</v>
      </c>
      <c r="R243">
        <v>1.0031502640000001</v>
      </c>
    </row>
    <row r="244" spans="1:18" x14ac:dyDescent="0.2">
      <c r="A244">
        <v>244</v>
      </c>
      <c r="B244">
        <v>86</v>
      </c>
      <c r="C244">
        <v>1</v>
      </c>
      <c r="D244">
        <v>20200102</v>
      </c>
      <c r="E244" t="s">
        <v>17</v>
      </c>
      <c r="F244">
        <v>3085.1976</v>
      </c>
      <c r="G244">
        <v>3066.3357000000001</v>
      </c>
      <c r="H244">
        <v>3098.1001000000001</v>
      </c>
      <c r="I244">
        <v>3066.3357000000001</v>
      </c>
      <c r="J244">
        <v>3050.1239999999998</v>
      </c>
      <c r="K244">
        <v>35.073599999999999</v>
      </c>
      <c r="L244">
        <v>1.1498999999999999</v>
      </c>
      <c r="M244">
        <v>292470208</v>
      </c>
      <c r="N244">
        <v>327197122.60000002</v>
      </c>
      <c r="O244">
        <v>228</v>
      </c>
      <c r="P244">
        <v>3</v>
      </c>
      <c r="Q244">
        <v>76</v>
      </c>
      <c r="R244">
        <v>1.023925016</v>
      </c>
    </row>
    <row r="245" spans="1:18" x14ac:dyDescent="0.2">
      <c r="A245">
        <v>245</v>
      </c>
      <c r="B245">
        <v>63</v>
      </c>
      <c r="C245">
        <v>4</v>
      </c>
      <c r="D245">
        <v>20200103</v>
      </c>
      <c r="E245" t="s">
        <v>17</v>
      </c>
      <c r="F245">
        <v>3083.7858000000001</v>
      </c>
      <c r="G245">
        <v>3089.0219999999999</v>
      </c>
      <c r="H245">
        <v>3093.8191999999999</v>
      </c>
      <c r="I245">
        <v>3074.5178000000001</v>
      </c>
      <c r="J245">
        <v>3085.1976</v>
      </c>
      <c r="K245">
        <v>-1.4117999999999999</v>
      </c>
      <c r="L245">
        <v>-4.58E-2</v>
      </c>
      <c r="M245">
        <v>261496667</v>
      </c>
      <c r="N245">
        <v>289991708.39999998</v>
      </c>
      <c r="O245">
        <v>139</v>
      </c>
      <c r="P245">
        <v>24</v>
      </c>
      <c r="Q245">
        <v>5.7916666670000003</v>
      </c>
      <c r="R245">
        <v>0.99544378600000005</v>
      </c>
    </row>
    <row r="246" spans="1:18" x14ac:dyDescent="0.2">
      <c r="A246">
        <v>246</v>
      </c>
      <c r="B246">
        <v>78</v>
      </c>
      <c r="C246">
        <v>3</v>
      </c>
      <c r="D246">
        <v>20200106</v>
      </c>
      <c r="E246" t="s">
        <v>17</v>
      </c>
      <c r="F246">
        <v>3083.4083000000001</v>
      </c>
      <c r="G246">
        <v>3070.9088000000002</v>
      </c>
      <c r="H246">
        <v>3107.2031999999999</v>
      </c>
      <c r="I246">
        <v>3065.3087999999998</v>
      </c>
      <c r="J246">
        <v>3083.7858000000001</v>
      </c>
      <c r="K246">
        <v>-0.3775</v>
      </c>
      <c r="L246">
        <v>-1.2200000000000001E-2</v>
      </c>
      <c r="M246">
        <v>312575842</v>
      </c>
      <c r="N246">
        <v>331182549.89999998</v>
      </c>
      <c r="O246">
        <v>216</v>
      </c>
      <c r="P246">
        <v>19</v>
      </c>
      <c r="Q246">
        <v>11.36842105</v>
      </c>
      <c r="R246">
        <v>1.0189282879999999</v>
      </c>
    </row>
    <row r="247" spans="1:18" x14ac:dyDescent="0.2">
      <c r="A247">
        <v>247</v>
      </c>
      <c r="B247">
        <v>82</v>
      </c>
      <c r="C247">
        <v>1</v>
      </c>
      <c r="D247">
        <v>20200107</v>
      </c>
      <c r="E247" t="s">
        <v>17</v>
      </c>
      <c r="F247">
        <v>3104.8015</v>
      </c>
      <c r="G247">
        <v>3085.4881999999998</v>
      </c>
      <c r="H247">
        <v>3105.4506999999999</v>
      </c>
      <c r="I247">
        <v>3084.3290000000002</v>
      </c>
      <c r="J247">
        <v>3083.4083000000001</v>
      </c>
      <c r="K247">
        <v>21.3932</v>
      </c>
      <c r="L247">
        <v>0.69379999999999997</v>
      </c>
      <c r="M247">
        <v>276583111</v>
      </c>
      <c r="N247">
        <v>288159227.69999999</v>
      </c>
      <c r="O247">
        <v>209</v>
      </c>
      <c r="P247">
        <v>5</v>
      </c>
      <c r="Q247">
        <v>41.8</v>
      </c>
      <c r="R247">
        <v>1.0036851920000001</v>
      </c>
    </row>
    <row r="248" spans="1:18" x14ac:dyDescent="0.2">
      <c r="A248">
        <v>248</v>
      </c>
      <c r="B248">
        <v>55</v>
      </c>
      <c r="C248">
        <v>3</v>
      </c>
      <c r="D248">
        <v>20200108</v>
      </c>
      <c r="E248" t="s">
        <v>17</v>
      </c>
      <c r="F248">
        <v>3066.8924999999999</v>
      </c>
      <c r="G248">
        <v>3094.2388999999998</v>
      </c>
      <c r="H248">
        <v>3094.2388999999998</v>
      </c>
      <c r="I248">
        <v>3059.1313</v>
      </c>
      <c r="J248">
        <v>3104.8015</v>
      </c>
      <c r="K248">
        <v>-37.908999999999999</v>
      </c>
      <c r="L248">
        <v>-1.2210000000000001</v>
      </c>
      <c r="M248">
        <v>297872553</v>
      </c>
      <c r="N248">
        <v>306517394.5</v>
      </c>
      <c r="O248">
        <v>116</v>
      </c>
      <c r="P248">
        <v>111</v>
      </c>
      <c r="Q248">
        <v>1.045045045</v>
      </c>
      <c r="R248">
        <v>0.99849138699999995</v>
      </c>
    </row>
    <row r="249" spans="1:18" x14ac:dyDescent="0.2">
      <c r="A249">
        <v>249</v>
      </c>
      <c r="B249">
        <v>64</v>
      </c>
      <c r="C249">
        <v>0</v>
      </c>
      <c r="D249">
        <v>20200109</v>
      </c>
      <c r="E249" t="s">
        <v>17</v>
      </c>
      <c r="F249">
        <v>3094.8818999999999</v>
      </c>
      <c r="G249">
        <v>3082.6397999999999</v>
      </c>
      <c r="H249">
        <v>3097.3290999999999</v>
      </c>
      <c r="I249">
        <v>3080.1313</v>
      </c>
      <c r="J249">
        <v>3066.8924999999999</v>
      </c>
      <c r="K249">
        <v>27.9894</v>
      </c>
      <c r="L249">
        <v>0.91259999999999997</v>
      </c>
      <c r="M249">
        <v>243435649</v>
      </c>
      <c r="N249">
        <v>271716020.89999998</v>
      </c>
      <c r="O249">
        <v>196</v>
      </c>
      <c r="P249">
        <v>34</v>
      </c>
      <c r="Q249">
        <v>5.7647058820000003</v>
      </c>
      <c r="R249">
        <v>0.99479914800000002</v>
      </c>
    </row>
    <row r="250" spans="1:18" x14ac:dyDescent="0.2">
      <c r="A250">
        <v>250</v>
      </c>
      <c r="B250">
        <v>41</v>
      </c>
      <c r="C250">
        <v>5</v>
      </c>
      <c r="D250">
        <v>20200110</v>
      </c>
      <c r="E250" t="s">
        <v>17</v>
      </c>
      <c r="F250">
        <v>3092.2907</v>
      </c>
      <c r="G250">
        <v>3102.2937999999999</v>
      </c>
      <c r="H250">
        <v>3105.2248</v>
      </c>
      <c r="I250">
        <v>3081.3960999999999</v>
      </c>
      <c r="J250">
        <v>3094.8818999999999</v>
      </c>
      <c r="K250">
        <v>-2.5912000000000002</v>
      </c>
      <c r="L250">
        <v>-8.3699999999999997E-2</v>
      </c>
      <c r="M250">
        <v>210442462</v>
      </c>
      <c r="N250">
        <v>241555668.09999999</v>
      </c>
      <c r="O250">
        <v>87</v>
      </c>
      <c r="P250">
        <v>39</v>
      </c>
      <c r="Q250">
        <v>2.230769231</v>
      </c>
      <c r="R250">
        <v>0.979522067</v>
      </c>
    </row>
    <row r="251" spans="1:18" x14ac:dyDescent="0.2">
      <c r="A251">
        <v>251</v>
      </c>
      <c r="B251">
        <v>66</v>
      </c>
      <c r="C251">
        <v>4</v>
      </c>
      <c r="D251">
        <v>20200113</v>
      </c>
      <c r="E251" t="s">
        <v>17</v>
      </c>
      <c r="F251">
        <v>3115.5695999999998</v>
      </c>
      <c r="G251">
        <v>3091.4929999999999</v>
      </c>
      <c r="H251">
        <v>3115.5695999999998</v>
      </c>
      <c r="I251">
        <v>3075.3836999999999</v>
      </c>
      <c r="J251">
        <v>3092.2907</v>
      </c>
      <c r="K251">
        <v>23.2789</v>
      </c>
      <c r="L251">
        <v>0.75280000000000002</v>
      </c>
      <c r="M251">
        <v>210621004</v>
      </c>
      <c r="N251">
        <v>258524058</v>
      </c>
      <c r="O251">
        <v>181</v>
      </c>
      <c r="P251">
        <v>19</v>
      </c>
      <c r="Q251">
        <v>9.5263157889999999</v>
      </c>
      <c r="R251">
        <v>1.017633725</v>
      </c>
    </row>
    <row r="252" spans="1:18" x14ac:dyDescent="0.2">
      <c r="A252">
        <v>252</v>
      </c>
      <c r="B252">
        <v>54</v>
      </c>
      <c r="C252">
        <v>5</v>
      </c>
      <c r="D252">
        <v>20200114</v>
      </c>
      <c r="E252" t="s">
        <v>17</v>
      </c>
      <c r="F252">
        <v>3106.8204000000001</v>
      </c>
      <c r="G252">
        <v>3120.6669000000002</v>
      </c>
      <c r="H252">
        <v>3127.1691999999998</v>
      </c>
      <c r="I252">
        <v>3105.6048999999998</v>
      </c>
      <c r="J252">
        <v>3115.5695999999998</v>
      </c>
      <c r="K252">
        <v>-8.7492000000000001</v>
      </c>
      <c r="L252">
        <v>-0.28079999999999999</v>
      </c>
      <c r="M252">
        <v>229973769</v>
      </c>
      <c r="N252">
        <v>271542441.39999998</v>
      </c>
      <c r="O252">
        <v>121</v>
      </c>
      <c r="P252">
        <v>21</v>
      </c>
      <c r="Q252">
        <v>5.7619047620000003</v>
      </c>
      <c r="R252">
        <v>0.98202520000000004</v>
      </c>
    </row>
    <row r="253" spans="1:18" x14ac:dyDescent="0.2">
      <c r="A253">
        <v>253</v>
      </c>
      <c r="B253">
        <v>40</v>
      </c>
      <c r="C253">
        <v>8</v>
      </c>
      <c r="D253">
        <v>20200115</v>
      </c>
      <c r="E253" t="s">
        <v>17</v>
      </c>
      <c r="F253">
        <v>3090.0378999999998</v>
      </c>
      <c r="G253">
        <v>3103.1749</v>
      </c>
      <c r="H253">
        <v>3107.9425999999999</v>
      </c>
      <c r="I253">
        <v>3082.0425</v>
      </c>
      <c r="J253">
        <v>3106.8204000000001</v>
      </c>
      <c r="K253">
        <v>-16.782499999999999</v>
      </c>
      <c r="L253">
        <v>-0.54020000000000001</v>
      </c>
      <c r="M253">
        <v>202313023</v>
      </c>
      <c r="N253">
        <v>232913446.69999999</v>
      </c>
      <c r="O253">
        <v>92</v>
      </c>
      <c r="P253">
        <v>43</v>
      </c>
      <c r="Q253">
        <v>2.1395348840000001</v>
      </c>
      <c r="R253">
        <v>0.98639389200000005</v>
      </c>
    </row>
    <row r="254" spans="1:18" x14ac:dyDescent="0.2">
      <c r="A254">
        <v>254</v>
      </c>
      <c r="B254">
        <v>39</v>
      </c>
      <c r="C254">
        <v>2</v>
      </c>
      <c r="D254">
        <v>20200116</v>
      </c>
      <c r="E254" t="s">
        <v>17</v>
      </c>
      <c r="F254">
        <v>3074.0814</v>
      </c>
      <c r="G254">
        <v>3095.7341999999999</v>
      </c>
      <c r="H254">
        <v>3096.3717000000001</v>
      </c>
      <c r="I254">
        <v>3070.884</v>
      </c>
      <c r="J254">
        <v>3090.0378999999998</v>
      </c>
      <c r="K254">
        <v>-15.9565</v>
      </c>
      <c r="L254">
        <v>-0.51639999999999997</v>
      </c>
      <c r="M254">
        <v>203375475</v>
      </c>
      <c r="N254">
        <v>236843360.09999999</v>
      </c>
      <c r="O254">
        <v>103</v>
      </c>
      <c r="P254">
        <v>37</v>
      </c>
      <c r="Q254">
        <v>2.7837837840000001</v>
      </c>
      <c r="R254">
        <v>0.98946939499999997</v>
      </c>
    </row>
    <row r="255" spans="1:18" x14ac:dyDescent="0.2">
      <c r="A255">
        <v>255</v>
      </c>
      <c r="B255">
        <v>37</v>
      </c>
      <c r="C255">
        <v>11</v>
      </c>
      <c r="D255">
        <v>20200117</v>
      </c>
      <c r="E255" t="s">
        <v>17</v>
      </c>
      <c r="F255">
        <v>3075.4955</v>
      </c>
      <c r="G255">
        <v>3081.4641000000001</v>
      </c>
      <c r="H255">
        <v>3091.9515999999999</v>
      </c>
      <c r="I255">
        <v>3067.2525000000001</v>
      </c>
      <c r="J255">
        <v>3074.0814</v>
      </c>
      <c r="K255">
        <v>1.4140999999999999</v>
      </c>
      <c r="L255">
        <v>4.5999999999999999E-2</v>
      </c>
      <c r="M255">
        <v>190304299</v>
      </c>
      <c r="N255">
        <v>242273045.30000001</v>
      </c>
      <c r="O255">
        <v>110</v>
      </c>
      <c r="P255">
        <v>58</v>
      </c>
      <c r="Q255">
        <v>1.896551724</v>
      </c>
      <c r="R255">
        <v>0.99084940799999999</v>
      </c>
    </row>
    <row r="256" spans="1:18" x14ac:dyDescent="0.2">
      <c r="A256">
        <v>256</v>
      </c>
      <c r="B256">
        <v>67</v>
      </c>
      <c r="C256">
        <v>9</v>
      </c>
      <c r="D256">
        <v>20200120</v>
      </c>
      <c r="E256" t="s">
        <v>17</v>
      </c>
      <c r="F256">
        <v>3095.7873</v>
      </c>
      <c r="G256">
        <v>3082.1134000000002</v>
      </c>
      <c r="H256">
        <v>3096.3105</v>
      </c>
      <c r="I256">
        <v>3070.4801000000002</v>
      </c>
      <c r="J256">
        <v>3075.4955</v>
      </c>
      <c r="K256">
        <v>20.291799999999999</v>
      </c>
      <c r="L256">
        <v>0.65980000000000005</v>
      </c>
      <c r="M256">
        <v>210493341</v>
      </c>
      <c r="N256">
        <v>271122455.39999998</v>
      </c>
      <c r="O256">
        <v>240</v>
      </c>
      <c r="P256">
        <v>58</v>
      </c>
      <c r="Q256">
        <v>4.1379310340000002</v>
      </c>
      <c r="R256">
        <v>0.98009769099999999</v>
      </c>
    </row>
    <row r="257" spans="1:18" x14ac:dyDescent="0.2">
      <c r="A257">
        <v>257</v>
      </c>
      <c r="B257">
        <v>60</v>
      </c>
      <c r="C257">
        <v>21</v>
      </c>
      <c r="D257">
        <v>20200121</v>
      </c>
      <c r="E257" t="s">
        <v>17</v>
      </c>
      <c r="F257">
        <v>3052.1419000000001</v>
      </c>
      <c r="G257">
        <v>3085.7894999999999</v>
      </c>
      <c r="H257">
        <v>3085.7894999999999</v>
      </c>
      <c r="I257">
        <v>3051.2301000000002</v>
      </c>
      <c r="J257">
        <v>3095.7873</v>
      </c>
      <c r="K257">
        <v>-43.645400000000002</v>
      </c>
      <c r="L257">
        <v>-1.4097999999999999</v>
      </c>
      <c r="M257">
        <v>234830739</v>
      </c>
      <c r="N257">
        <v>286268098.19999999</v>
      </c>
      <c r="O257">
        <v>137</v>
      </c>
      <c r="P257">
        <v>139</v>
      </c>
      <c r="Q257">
        <v>0.985611511</v>
      </c>
      <c r="R257">
        <v>1.005105267</v>
      </c>
    </row>
    <row r="258" spans="1:18" x14ac:dyDescent="0.2">
      <c r="A258">
        <v>258</v>
      </c>
      <c r="B258">
        <v>51</v>
      </c>
      <c r="C258">
        <v>24</v>
      </c>
      <c r="D258">
        <v>20200122</v>
      </c>
      <c r="E258" t="s">
        <v>17</v>
      </c>
      <c r="F258">
        <v>3060.7545</v>
      </c>
      <c r="G258">
        <v>3038.4868000000001</v>
      </c>
      <c r="H258">
        <v>3069.2527</v>
      </c>
      <c r="I258">
        <v>3006.2676999999999</v>
      </c>
      <c r="J258">
        <v>3052.1419000000001</v>
      </c>
      <c r="K258">
        <v>8.6126000000000005</v>
      </c>
      <c r="L258">
        <v>0.28220000000000001</v>
      </c>
      <c r="M258">
        <v>223852865</v>
      </c>
      <c r="N258">
        <v>278456924</v>
      </c>
      <c r="O258">
        <v>160</v>
      </c>
      <c r="P258">
        <v>109</v>
      </c>
      <c r="Q258">
        <v>1.4678899080000001</v>
      </c>
      <c r="R258">
        <v>0.96778632899999995</v>
      </c>
    </row>
    <row r="259" spans="1:18" x14ac:dyDescent="0.2">
      <c r="A259">
        <v>259</v>
      </c>
      <c r="B259">
        <v>27</v>
      </c>
      <c r="C259">
        <v>76</v>
      </c>
      <c r="D259">
        <v>20200123</v>
      </c>
      <c r="E259" t="s">
        <v>17</v>
      </c>
      <c r="F259">
        <v>2976.5281</v>
      </c>
      <c r="G259">
        <v>3037.9524000000001</v>
      </c>
      <c r="H259">
        <v>3045.0405999999998</v>
      </c>
      <c r="I259">
        <v>2955.346</v>
      </c>
      <c r="J259">
        <v>3060.7545</v>
      </c>
      <c r="K259">
        <v>-84.226399999999998</v>
      </c>
      <c r="L259">
        <v>-2.7517999999999998</v>
      </c>
      <c r="M259">
        <v>272763234</v>
      </c>
      <c r="N259">
        <v>327490360.39999998</v>
      </c>
      <c r="O259">
        <v>68</v>
      </c>
      <c r="P259">
        <v>827</v>
      </c>
      <c r="Q259">
        <v>8.2224908999999999E-2</v>
      </c>
      <c r="R259">
        <v>1.0025839000000001</v>
      </c>
    </row>
    <row r="260" spans="1:18" x14ac:dyDescent="0.2">
      <c r="A260">
        <v>260</v>
      </c>
      <c r="B260">
        <v>79</v>
      </c>
      <c r="C260">
        <v>3048</v>
      </c>
      <c r="D260">
        <v>20200203</v>
      </c>
      <c r="E260" t="s">
        <v>17</v>
      </c>
      <c r="F260">
        <v>2746.6055999999999</v>
      </c>
      <c r="G260">
        <v>2716.6977999999999</v>
      </c>
      <c r="H260">
        <v>2766.5772999999999</v>
      </c>
      <c r="I260">
        <v>2716.6977999999999</v>
      </c>
      <c r="J260">
        <v>2976.5281</v>
      </c>
      <c r="K260">
        <v>-229.92250000000001</v>
      </c>
      <c r="L260">
        <v>-7.7244999999999999</v>
      </c>
      <c r="M260">
        <v>215912103</v>
      </c>
      <c r="N260">
        <v>257019597.40000001</v>
      </c>
      <c r="O260">
        <v>114</v>
      </c>
      <c r="P260">
        <v>3328</v>
      </c>
      <c r="Q260">
        <v>3.4254807999999998E-2</v>
      </c>
      <c r="R260">
        <v>0.99719034399999995</v>
      </c>
    </row>
    <row r="261" spans="1:18" x14ac:dyDescent="0.2">
      <c r="A261">
        <v>261</v>
      </c>
      <c r="B261">
        <v>155</v>
      </c>
      <c r="C261">
        <v>28</v>
      </c>
      <c r="D261">
        <v>20200204</v>
      </c>
      <c r="E261" t="s">
        <v>17</v>
      </c>
      <c r="F261">
        <v>2783.2874999999999</v>
      </c>
      <c r="G261">
        <v>2685.2692999999999</v>
      </c>
      <c r="H261">
        <v>2786.1642000000002</v>
      </c>
      <c r="I261">
        <v>2685.2692999999999</v>
      </c>
      <c r="J261">
        <v>2746.6055999999999</v>
      </c>
      <c r="K261">
        <v>36.681899999999999</v>
      </c>
      <c r="L261">
        <v>1.3354999999999999</v>
      </c>
      <c r="M261">
        <v>364046200</v>
      </c>
      <c r="N261">
        <v>374068466.80000001</v>
      </c>
      <c r="O261">
        <v>563</v>
      </c>
      <c r="P261">
        <v>676</v>
      </c>
      <c r="Q261">
        <v>0.83284023699999998</v>
      </c>
      <c r="R261">
        <v>1.0091115399999999</v>
      </c>
    </row>
    <row r="262" spans="1:18" x14ac:dyDescent="0.2">
      <c r="A262">
        <v>262</v>
      </c>
      <c r="B262">
        <v>173</v>
      </c>
      <c r="C262">
        <v>0</v>
      </c>
      <c r="D262">
        <v>20200205</v>
      </c>
      <c r="E262" t="s">
        <v>17</v>
      </c>
      <c r="F262">
        <v>2818.0877999999998</v>
      </c>
      <c r="G262">
        <v>2792.3712999999998</v>
      </c>
      <c r="H262">
        <v>2842.7426</v>
      </c>
      <c r="I262">
        <v>2778.8640999999998</v>
      </c>
      <c r="J262">
        <v>2783.2874999999999</v>
      </c>
      <c r="K262">
        <v>34.8003</v>
      </c>
      <c r="L262">
        <v>1.2503</v>
      </c>
      <c r="M262">
        <v>309761823</v>
      </c>
      <c r="N262">
        <v>349184114.80000001</v>
      </c>
      <c r="O262">
        <v>610</v>
      </c>
      <c r="P262">
        <v>5</v>
      </c>
      <c r="Q262">
        <v>122</v>
      </c>
      <c r="R262">
        <v>1.0299644349999999</v>
      </c>
    </row>
    <row r="263" spans="1:18" x14ac:dyDescent="0.2">
      <c r="A263">
        <v>263</v>
      </c>
      <c r="B263">
        <v>245</v>
      </c>
      <c r="C263">
        <v>1</v>
      </c>
      <c r="D263">
        <v>20200206</v>
      </c>
      <c r="E263" t="s">
        <v>17</v>
      </c>
      <c r="F263">
        <v>2866.5097000000001</v>
      </c>
      <c r="G263">
        <v>2826.8851</v>
      </c>
      <c r="H263">
        <v>2876.5877999999998</v>
      </c>
      <c r="I263">
        <v>2807.6089999999999</v>
      </c>
      <c r="J263">
        <v>2818.0877999999998</v>
      </c>
      <c r="K263">
        <v>48.421900000000001</v>
      </c>
      <c r="L263">
        <v>1.7182999999999999</v>
      </c>
      <c r="M263">
        <v>316392142</v>
      </c>
      <c r="N263">
        <v>358582589.69999999</v>
      </c>
      <c r="O263">
        <v>603</v>
      </c>
      <c r="P263">
        <v>7</v>
      </c>
      <c r="Q263">
        <v>86.142857140000004</v>
      </c>
      <c r="R263">
        <v>1.045404604</v>
      </c>
    </row>
    <row r="264" spans="1:18" x14ac:dyDescent="0.2">
      <c r="A264">
        <v>264</v>
      </c>
      <c r="B264">
        <v>177</v>
      </c>
      <c r="C264">
        <v>3</v>
      </c>
      <c r="D264">
        <v>20200207</v>
      </c>
      <c r="E264" t="s">
        <v>17</v>
      </c>
      <c r="F264">
        <v>2875.9636</v>
      </c>
      <c r="G264">
        <v>2858.9324000000001</v>
      </c>
      <c r="H264">
        <v>2875.9636</v>
      </c>
      <c r="I264">
        <v>2838.7701999999999</v>
      </c>
      <c r="J264">
        <v>2866.5097000000001</v>
      </c>
      <c r="K264">
        <v>9.4539000000000009</v>
      </c>
      <c r="L264">
        <v>0.32979999999999998</v>
      </c>
      <c r="M264">
        <v>309479642</v>
      </c>
      <c r="N264">
        <v>362384162.5</v>
      </c>
      <c r="O264">
        <v>420</v>
      </c>
      <c r="P264">
        <v>81</v>
      </c>
      <c r="Q264">
        <v>5.1851851849999999</v>
      </c>
      <c r="R264">
        <v>1.0040322209999999</v>
      </c>
    </row>
    <row r="265" spans="1:18" x14ac:dyDescent="0.2">
      <c r="A265">
        <v>265</v>
      </c>
      <c r="B265">
        <v>148</v>
      </c>
      <c r="C265">
        <v>30</v>
      </c>
      <c r="D265">
        <v>20200210</v>
      </c>
      <c r="E265" t="s">
        <v>17</v>
      </c>
      <c r="F265">
        <v>2890.4877999999999</v>
      </c>
      <c r="G265">
        <v>2860.4989999999998</v>
      </c>
      <c r="H265">
        <v>2891.8479000000002</v>
      </c>
      <c r="I265">
        <v>2851.0502999999999</v>
      </c>
      <c r="J265">
        <v>2875.9636</v>
      </c>
      <c r="K265">
        <v>14.5242</v>
      </c>
      <c r="L265">
        <v>0.505</v>
      </c>
      <c r="M265">
        <v>294929784</v>
      </c>
      <c r="N265">
        <v>341520398.30000001</v>
      </c>
      <c r="O265">
        <v>393</v>
      </c>
      <c r="P265">
        <v>125</v>
      </c>
      <c r="Q265">
        <v>3.1440000000000001</v>
      </c>
      <c r="R265">
        <v>0.98431829100000001</v>
      </c>
    </row>
    <row r="266" spans="1:18" x14ac:dyDescent="0.2">
      <c r="A266">
        <v>266</v>
      </c>
      <c r="B266">
        <v>56</v>
      </c>
      <c r="C266">
        <v>36</v>
      </c>
      <c r="D266">
        <v>20200211</v>
      </c>
      <c r="E266" t="s">
        <v>17</v>
      </c>
      <c r="F266">
        <v>2901.6743999999999</v>
      </c>
      <c r="G266">
        <v>2894.5414000000001</v>
      </c>
      <c r="H266">
        <v>2913.8159000000001</v>
      </c>
      <c r="I266">
        <v>2882.2428</v>
      </c>
      <c r="J266">
        <v>2890.4877999999999</v>
      </c>
      <c r="K266">
        <v>11.1866</v>
      </c>
      <c r="L266">
        <v>0.38700000000000001</v>
      </c>
      <c r="M266">
        <v>269168335</v>
      </c>
      <c r="N266">
        <v>302956847.19999999</v>
      </c>
      <c r="O266">
        <v>122</v>
      </c>
      <c r="P266">
        <v>189</v>
      </c>
      <c r="Q266">
        <v>0.64550264599999996</v>
      </c>
      <c r="R266">
        <v>0.96064112700000004</v>
      </c>
    </row>
    <row r="267" spans="1:18" x14ac:dyDescent="0.2">
      <c r="A267">
        <v>267</v>
      </c>
      <c r="B267">
        <v>113</v>
      </c>
      <c r="C267">
        <v>0</v>
      </c>
      <c r="D267">
        <v>20200212</v>
      </c>
      <c r="E267" t="s">
        <v>17</v>
      </c>
      <c r="F267">
        <v>2926.8991000000001</v>
      </c>
      <c r="G267">
        <v>2895.5560999999998</v>
      </c>
      <c r="H267">
        <v>2926.8991000000001</v>
      </c>
      <c r="I267">
        <v>2892.424</v>
      </c>
      <c r="J267">
        <v>2901.6743999999999</v>
      </c>
      <c r="K267">
        <v>25.224699999999999</v>
      </c>
      <c r="L267">
        <v>0.86929999999999996</v>
      </c>
      <c r="M267">
        <v>248733429</v>
      </c>
      <c r="N267">
        <v>297534420.5</v>
      </c>
      <c r="O267">
        <v>294</v>
      </c>
      <c r="P267">
        <v>4</v>
      </c>
      <c r="Q267">
        <v>73.5</v>
      </c>
      <c r="R267">
        <v>1.0168047019999999</v>
      </c>
    </row>
    <row r="268" spans="1:18" x14ac:dyDescent="0.2">
      <c r="A268">
        <v>268</v>
      </c>
      <c r="B268">
        <v>56</v>
      </c>
      <c r="C268">
        <v>3</v>
      </c>
      <c r="D268">
        <v>20200213</v>
      </c>
      <c r="E268" t="s">
        <v>17</v>
      </c>
      <c r="F268">
        <v>2906.0735</v>
      </c>
      <c r="G268">
        <v>2927.1442999999999</v>
      </c>
      <c r="H268">
        <v>2935.4059999999999</v>
      </c>
      <c r="I268">
        <v>2901.2424999999998</v>
      </c>
      <c r="J268">
        <v>2926.8991000000001</v>
      </c>
      <c r="K268">
        <v>-20.825600000000001</v>
      </c>
      <c r="L268">
        <v>-0.71150000000000002</v>
      </c>
      <c r="M268">
        <v>274804844</v>
      </c>
      <c r="N268">
        <v>334526327.39999998</v>
      </c>
      <c r="O268">
        <v>136</v>
      </c>
      <c r="P268">
        <v>83</v>
      </c>
      <c r="Q268">
        <v>1.638554217</v>
      </c>
      <c r="R268">
        <v>0.98146123699999999</v>
      </c>
    </row>
    <row r="269" spans="1:18" x14ac:dyDescent="0.2">
      <c r="A269">
        <v>269</v>
      </c>
      <c r="B269">
        <v>66</v>
      </c>
      <c r="C269">
        <v>2</v>
      </c>
      <c r="D269">
        <v>20200214</v>
      </c>
      <c r="E269" t="s">
        <v>17</v>
      </c>
      <c r="F269">
        <v>2917.0077000000001</v>
      </c>
      <c r="G269">
        <v>2899.8658999999998</v>
      </c>
      <c r="H269">
        <v>2926.9427000000001</v>
      </c>
      <c r="I269">
        <v>2899.5738999999999</v>
      </c>
      <c r="J269">
        <v>2906.0735</v>
      </c>
      <c r="K269">
        <v>10.934200000000001</v>
      </c>
      <c r="L269">
        <v>0.37630000000000002</v>
      </c>
      <c r="M269">
        <v>250650627</v>
      </c>
      <c r="N269">
        <v>308080368.69999999</v>
      </c>
      <c r="O269">
        <v>165</v>
      </c>
      <c r="P269">
        <v>54</v>
      </c>
      <c r="Q269">
        <v>3.0555555559999998</v>
      </c>
      <c r="R269">
        <v>1.0238543259999999</v>
      </c>
    </row>
    <row r="270" spans="1:18" x14ac:dyDescent="0.2">
      <c r="A270">
        <v>270</v>
      </c>
      <c r="B270">
        <v>172</v>
      </c>
      <c r="C270">
        <v>0</v>
      </c>
      <c r="D270">
        <v>20200217</v>
      </c>
      <c r="E270" t="s">
        <v>17</v>
      </c>
      <c r="F270">
        <v>2983.6224000000002</v>
      </c>
      <c r="G270">
        <v>2924.9913000000001</v>
      </c>
      <c r="H270">
        <v>2983.6370999999999</v>
      </c>
      <c r="I270">
        <v>2924.9913000000001</v>
      </c>
      <c r="J270">
        <v>2917.0077000000001</v>
      </c>
      <c r="K270">
        <v>66.614699999999999</v>
      </c>
      <c r="L270">
        <v>2.2837000000000001</v>
      </c>
      <c r="M270">
        <v>313198007</v>
      </c>
      <c r="N270">
        <v>367014340.10000002</v>
      </c>
      <c r="O270">
        <v>647</v>
      </c>
      <c r="P270">
        <v>5</v>
      </c>
      <c r="Q270">
        <v>129.4</v>
      </c>
      <c r="R270">
        <v>1.02658468</v>
      </c>
    </row>
    <row r="271" spans="1:18" x14ac:dyDescent="0.2">
      <c r="A271">
        <v>271</v>
      </c>
      <c r="B271">
        <v>133</v>
      </c>
      <c r="C271">
        <v>2</v>
      </c>
      <c r="D271">
        <v>20200218</v>
      </c>
      <c r="E271" t="s">
        <v>17</v>
      </c>
      <c r="F271">
        <v>2984.9715999999999</v>
      </c>
      <c r="G271">
        <v>2981.4097000000002</v>
      </c>
      <c r="H271">
        <v>2990.6003000000001</v>
      </c>
      <c r="I271">
        <v>2960.7750999999998</v>
      </c>
      <c r="J271">
        <v>2983.6224000000002</v>
      </c>
      <c r="K271">
        <v>1.3492</v>
      </c>
      <c r="L271">
        <v>4.5199999999999997E-2</v>
      </c>
      <c r="M271">
        <v>311665913</v>
      </c>
      <c r="N271">
        <v>374998562.60000002</v>
      </c>
      <c r="O271">
        <v>377</v>
      </c>
      <c r="P271">
        <v>21</v>
      </c>
      <c r="Q271">
        <v>17.952380949999998</v>
      </c>
      <c r="R271">
        <v>1.008866713</v>
      </c>
    </row>
    <row r="272" spans="1:18" x14ac:dyDescent="0.2">
      <c r="A272">
        <v>272</v>
      </c>
      <c r="B272">
        <v>90</v>
      </c>
      <c r="C272">
        <v>15</v>
      </c>
      <c r="D272">
        <v>20200219</v>
      </c>
      <c r="E272" t="s">
        <v>17</v>
      </c>
      <c r="F272">
        <v>2975.4018999999998</v>
      </c>
      <c r="G272">
        <v>2979.5223000000001</v>
      </c>
      <c r="H272">
        <v>2998.2718</v>
      </c>
      <c r="I272">
        <v>2971.8218999999999</v>
      </c>
      <c r="J272">
        <v>2984.9715999999999</v>
      </c>
      <c r="K272">
        <v>-9.5696999999999992</v>
      </c>
      <c r="L272">
        <v>-0.3206</v>
      </c>
      <c r="M272">
        <v>315141151</v>
      </c>
      <c r="N272">
        <v>381331160.39999998</v>
      </c>
      <c r="O272">
        <v>180</v>
      </c>
      <c r="P272">
        <v>179</v>
      </c>
      <c r="Q272">
        <v>1.005586592</v>
      </c>
      <c r="R272">
        <v>0.98810592399999997</v>
      </c>
    </row>
    <row r="273" spans="1:18" x14ac:dyDescent="0.2">
      <c r="A273">
        <v>273</v>
      </c>
      <c r="B273">
        <v>118</v>
      </c>
      <c r="C273">
        <v>1</v>
      </c>
      <c r="D273">
        <v>20200220</v>
      </c>
      <c r="E273" t="s">
        <v>17</v>
      </c>
      <c r="F273">
        <v>3030.1541999999999</v>
      </c>
      <c r="G273">
        <v>2981.8802000000001</v>
      </c>
      <c r="H273">
        <v>3031.3706000000002</v>
      </c>
      <c r="I273">
        <v>2968.4450999999999</v>
      </c>
      <c r="J273">
        <v>2975.4018999999998</v>
      </c>
      <c r="K273">
        <v>54.752299999999998</v>
      </c>
      <c r="L273">
        <v>1.8402000000000001</v>
      </c>
      <c r="M273">
        <v>345732881</v>
      </c>
      <c r="N273">
        <v>413761364.10000002</v>
      </c>
      <c r="O273">
        <v>334</v>
      </c>
      <c r="P273">
        <v>27</v>
      </c>
      <c r="Q273">
        <v>12.37037037</v>
      </c>
      <c r="R273">
        <v>1.0156961609999999</v>
      </c>
    </row>
    <row r="274" spans="1:18" x14ac:dyDescent="0.2">
      <c r="A274">
        <v>274</v>
      </c>
      <c r="B274">
        <v>105</v>
      </c>
      <c r="C274">
        <v>1</v>
      </c>
      <c r="D274">
        <v>20200221</v>
      </c>
      <c r="E274" t="s">
        <v>17</v>
      </c>
      <c r="F274">
        <v>3039.6691999999998</v>
      </c>
      <c r="G274">
        <v>3022.2455</v>
      </c>
      <c r="H274">
        <v>3058.8980000000001</v>
      </c>
      <c r="I274">
        <v>3020.1410000000001</v>
      </c>
      <c r="J274">
        <v>3030.1541999999999</v>
      </c>
      <c r="K274">
        <v>9.5150000000000006</v>
      </c>
      <c r="L274">
        <v>0.314</v>
      </c>
      <c r="M274">
        <v>364557276</v>
      </c>
      <c r="N274">
        <v>445062076.69999999</v>
      </c>
      <c r="O274">
        <v>280</v>
      </c>
      <c r="P274">
        <v>9</v>
      </c>
      <c r="Q274">
        <v>31.11111111</v>
      </c>
      <c r="R274">
        <v>1.0007307480000001</v>
      </c>
    </row>
    <row r="275" spans="1:18" x14ac:dyDescent="0.2">
      <c r="A275">
        <v>275</v>
      </c>
      <c r="B275">
        <v>161</v>
      </c>
      <c r="C275">
        <v>3</v>
      </c>
      <c r="D275">
        <v>20200224</v>
      </c>
      <c r="E275" t="s">
        <v>17</v>
      </c>
      <c r="F275">
        <v>3031.2332999999999</v>
      </c>
      <c r="G275">
        <v>3027.8924999999999</v>
      </c>
      <c r="H275">
        <v>3042.1821</v>
      </c>
      <c r="I275">
        <v>3007.3557000000001</v>
      </c>
      <c r="J275">
        <v>3039.6691999999998</v>
      </c>
      <c r="K275">
        <v>-8.4359000000000002</v>
      </c>
      <c r="L275">
        <v>-0.27750000000000002</v>
      </c>
      <c r="M275">
        <v>370430044</v>
      </c>
      <c r="N275">
        <v>451601363.10000002</v>
      </c>
      <c r="O275">
        <v>447</v>
      </c>
      <c r="P275">
        <v>38</v>
      </c>
      <c r="Q275">
        <v>11.76315789</v>
      </c>
      <c r="R275">
        <v>1.024331551</v>
      </c>
    </row>
    <row r="276" spans="1:18" x14ac:dyDescent="0.2">
      <c r="A276">
        <v>276</v>
      </c>
      <c r="B276">
        <v>139</v>
      </c>
      <c r="C276">
        <v>1</v>
      </c>
      <c r="D276">
        <v>20200225</v>
      </c>
      <c r="E276" t="s">
        <v>17</v>
      </c>
      <c r="F276">
        <v>3013.0500999999999</v>
      </c>
      <c r="G276">
        <v>2982.0695999999998</v>
      </c>
      <c r="H276">
        <v>3016.9458</v>
      </c>
      <c r="I276">
        <v>2943.7168000000001</v>
      </c>
      <c r="J276">
        <v>3031.2332999999999</v>
      </c>
      <c r="K276">
        <v>-18.183199999999999</v>
      </c>
      <c r="L276">
        <v>-0.59989999999999999</v>
      </c>
      <c r="M276">
        <v>441622762</v>
      </c>
      <c r="N276">
        <v>513128644.60000002</v>
      </c>
      <c r="O276">
        <v>362</v>
      </c>
      <c r="P276">
        <v>28</v>
      </c>
      <c r="Q276">
        <v>12.92857143</v>
      </c>
      <c r="R276">
        <v>1.0506145410000001</v>
      </c>
    </row>
    <row r="277" spans="1:18" x14ac:dyDescent="0.2">
      <c r="A277">
        <v>277</v>
      </c>
      <c r="B277">
        <v>88</v>
      </c>
      <c r="C277">
        <v>98</v>
      </c>
      <c r="D277">
        <v>20200226</v>
      </c>
      <c r="E277" t="s">
        <v>17</v>
      </c>
      <c r="F277">
        <v>2987.9286999999999</v>
      </c>
      <c r="G277">
        <v>2978.4195</v>
      </c>
      <c r="H277">
        <v>3028.7788</v>
      </c>
      <c r="I277">
        <v>2974.9423000000002</v>
      </c>
      <c r="J277">
        <v>3013.0500999999999</v>
      </c>
      <c r="K277">
        <v>-25.121400000000001</v>
      </c>
      <c r="L277">
        <v>-0.83379999999999999</v>
      </c>
      <c r="M277">
        <v>469049552</v>
      </c>
      <c r="N277">
        <v>495341447.30000001</v>
      </c>
      <c r="O277">
        <v>153</v>
      </c>
      <c r="P277">
        <v>660</v>
      </c>
      <c r="Q277">
        <v>0.23181818200000001</v>
      </c>
      <c r="R277">
        <v>0.97345395199999996</v>
      </c>
    </row>
    <row r="278" spans="1:18" x14ac:dyDescent="0.2">
      <c r="A278">
        <v>278</v>
      </c>
      <c r="B278">
        <v>93</v>
      </c>
      <c r="C278">
        <v>24</v>
      </c>
      <c r="D278">
        <v>20200227</v>
      </c>
      <c r="E278" t="s">
        <v>17</v>
      </c>
      <c r="F278">
        <v>2991.3287999999998</v>
      </c>
      <c r="G278">
        <v>2992.4919</v>
      </c>
      <c r="H278">
        <v>3009.4575</v>
      </c>
      <c r="I278">
        <v>2980.4774000000002</v>
      </c>
      <c r="J278">
        <v>2987.9286999999999</v>
      </c>
      <c r="K278">
        <v>3.4001000000000001</v>
      </c>
      <c r="L278">
        <v>0.1138</v>
      </c>
      <c r="M278">
        <v>350523658</v>
      </c>
      <c r="N278">
        <v>395955641.5</v>
      </c>
      <c r="O278">
        <v>252</v>
      </c>
      <c r="P278">
        <v>161</v>
      </c>
      <c r="Q278">
        <v>1.565217391</v>
      </c>
      <c r="R278">
        <v>0.97233666900000004</v>
      </c>
    </row>
    <row r="279" spans="1:18" x14ac:dyDescent="0.2">
      <c r="A279">
        <v>279</v>
      </c>
      <c r="B279">
        <v>47</v>
      </c>
      <c r="C279">
        <v>258</v>
      </c>
      <c r="D279">
        <v>20200228</v>
      </c>
      <c r="E279" t="s">
        <v>17</v>
      </c>
      <c r="F279">
        <v>2880.3038000000001</v>
      </c>
      <c r="G279">
        <v>2924.6406999999999</v>
      </c>
      <c r="H279">
        <v>2948.1261</v>
      </c>
      <c r="I279">
        <v>2878.5443</v>
      </c>
      <c r="J279">
        <v>2991.3287999999998</v>
      </c>
      <c r="K279">
        <v>-111.02500000000001</v>
      </c>
      <c r="L279">
        <v>-3.7115999999999998</v>
      </c>
      <c r="M279">
        <v>401216914</v>
      </c>
      <c r="N279">
        <v>432657775</v>
      </c>
      <c r="O279">
        <v>67</v>
      </c>
      <c r="P279">
        <v>2140</v>
      </c>
      <c r="Q279">
        <v>3.1308411000000001E-2</v>
      </c>
      <c r="R279">
        <v>0.99155238099999998</v>
      </c>
    </row>
  </sheetData>
  <phoneticPr fontId="18" type="noConversion"/>
  <conditionalFormatting sqref="S3:AG3">
    <cfRule type="top10" dxfId="0" priority="2" rank="2"/>
  </conditionalFormatting>
  <conditionalFormatting sqref="S2:AG2">
    <cfRule type="top10" dxfId="1" priority="1" rank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涨跌停&amp;上证汇总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邵文琴</dc:creator>
  <cp:lastModifiedBy>邵文琴</cp:lastModifiedBy>
  <dcterms:created xsi:type="dcterms:W3CDTF">2020-03-02T13:28:16Z</dcterms:created>
  <dcterms:modified xsi:type="dcterms:W3CDTF">2020-03-02T13:28:16Z</dcterms:modified>
</cp:coreProperties>
</file>